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2" name="Summary" state="visible" r:id="rId4"/>
    <sheet sheetId="1" name="Samples (2-min)" state="visible" r:id="rId5"/>
    <sheet sheetId="3" name="Method &amp; Notes" state="visible" r:id="rId6"/>
  </sheets>
  <calcPr calcId="171027"/>
</workbook>
</file>

<file path=xl/sharedStrings.xml><?xml version="1.0" encoding="utf-8"?>
<sst xmlns="http://schemas.openxmlformats.org/spreadsheetml/2006/main" count="166" uniqueCount="113">
  <si>
    <t>MDCS 1-hour soak (2026-09-27) — results</t>
  </si>
  <si>
    <t>Soak: 60 min continuous Auto Click after warm-up · sampled every 2 min · T0 and T+1h are like-for-like readings on /mdcs/dashboard after forced GC (see Method &amp; Notes)</t>
  </si>
  <si>
    <t>Metric</t>
  </si>
  <si>
    <t>T0 Baseline</t>
  </si>
  <si>
    <t>T+1h</t>
  </si>
  <si>
    <t>Change T0 → T+1h</t>
  </si>
  <si>
    <t>Limit</t>
  </si>
  <si>
    <t>Result</t>
  </si>
  <si>
    <t>Post-GC JS Heap (MB)</t>
  </si>
  <si>
    <t>≤ +10 MB or +10%</t>
  </si>
  <si>
    <t>Heap Slope / Trend (MB per 10 cycles)</t>
  </si>
  <si>
    <t>whole run 0.31 → second half 0.25 MB/10 cycles; range 30.5–32.5 MB</t>
  </si>
  <si>
    <t>≤ 1 MB / 10 cycles, or a bounded plateau</t>
  </si>
  <si>
    <t>DOM Nodes</t>
  </si>
  <si>
    <t>≤ +100 or +5%</t>
  </si>
  <si>
    <t>Event Listeners</t>
  </si>
  <si>
    <t>≤ +20 or +5%</t>
  </si>
  <si>
    <t>Documents / Frames</t>
  </si>
  <si>
    <t>38 / 38</t>
  </si>
  <si>
    <t>+0 / +0</t>
  </si>
  <si>
    <t>No increase</t>
  </si>
  <si>
    <t>Idle CPU</t>
  </si>
  <si>
    <t>≤ 5%</t>
  </si>
  <si>
    <t>Median Cycle Runtime (ms CPU / cycle)</t>
  </si>
  <si>
    <t>≤ +15%</t>
  </si>
  <si>
    <t>Automation Reliability</t>
  </si>
  <si>
    <t>—</t>
  </si>
  <si>
    <t>0 stall(s), 0 continuity break(s), 1362 clicks</t>
  </si>
  <si>
    <t>≥ 99.5%</t>
  </si>
  <si>
    <t>OVERALL: all standards met.</t>
  </si>
  <si>
    <t>T0 and T+1h pull from the Samples sheet (bold rows); change and result cells are formulas, so editing a sample updates them.</t>
  </si>
  <si>
    <t>Time (UTC)</t>
  </si>
  <si>
    <t>Elapsed (min)</t>
  </si>
  <si>
    <t>JS heap (MB)</t>
  </si>
  <si>
    <t>Nodes</t>
  </si>
  <si>
    <t>Listeners</t>
  </si>
  <si>
    <t>Documents</t>
  </si>
  <si>
    <t>Frames</t>
  </si>
  <si>
    <t>Layouts</t>
  </si>
  <si>
    <t>Style recalcs</t>
  </si>
  <si>
    <t>Task duration (s)</t>
  </si>
  <si>
    <t>CPU % since last</t>
  </si>
  <si>
    <t>Clicks</t>
  </si>
  <si>
    <t>Tabs</t>
  </si>
  <si>
    <t>URL</t>
  </si>
  <si>
    <t>Note</t>
  </si>
  <si>
    <t>2026-09-27T06:17:21.956Z</t>
  </si>
  <si>
    <t>http://localhost:8035/mdcs/dashboard</t>
  </si>
  <si>
    <t>controlled-baseline (idle cpu)</t>
  </si>
  <si>
    <t>2026-09-27T06:19:28.684Z</t>
  </si>
  <si>
    <t/>
  </si>
  <si>
    <t>2026-09-27T06:21:30.085Z</t>
  </si>
  <si>
    <t>http://localhost:8035/mdcs/event-history</t>
  </si>
  <si>
    <t>2026-09-27T06:23:31.494Z</t>
  </si>
  <si>
    <t>2026-09-27T06:25:32.919Z</t>
  </si>
  <si>
    <t>2026-09-27T06:27:34.334Z</t>
  </si>
  <si>
    <t>2026-09-27T06:29:35.746Z</t>
  </si>
  <si>
    <t>http://localhost:8035/mdcs/notification-centre</t>
  </si>
  <si>
    <t>2026-09-27T06:31:37.160Z</t>
  </si>
  <si>
    <t>http://localhost:8035/mdcs/bus-transfer</t>
  </si>
  <si>
    <t>2026-09-27T06:33:38.568Z</t>
  </si>
  <si>
    <t>http://localhost:8035/mdcs/card-key-version</t>
  </si>
  <si>
    <t>2026-09-27T06:35:39.984Z</t>
  </si>
  <si>
    <t>2026-09-27T06:37:41.391Z</t>
  </si>
  <si>
    <t>http://localhost:8035/mdcs/maintenance/eod-process</t>
  </si>
  <si>
    <t>2026-09-27T06:39:42.811Z</t>
  </si>
  <si>
    <t>2026-09-27T06:41:44.214Z</t>
  </si>
  <si>
    <t>http://localhost:8035/mdcs/report/adhoc/bus-arrival-exception-list</t>
  </si>
  <si>
    <t>2026-09-27T06:43:45.634Z</t>
  </si>
  <si>
    <t>2026-09-27T06:45:47.065Z</t>
  </si>
  <si>
    <t>2026-09-27T06:47:48.505Z</t>
  </si>
  <si>
    <t>http://localhost:8035/mdcs/parameter-trial/approval</t>
  </si>
  <si>
    <t>2026-09-27T06:49:49.917Z</t>
  </si>
  <si>
    <t>2026-09-27T06:51:55.452Z</t>
  </si>
  <si>
    <t>2026-09-27T06:53:56.877Z</t>
  </si>
  <si>
    <t>2026-09-27T06:55:58.306Z</t>
  </si>
  <si>
    <t>http://localhost:8035/mdcs/parameter-trial/end-trial</t>
  </si>
  <si>
    <t>2026-09-27T06:57:59.744Z</t>
  </si>
  <si>
    <t>http://localhost:8035/mdcs/bus-operation</t>
  </si>
  <si>
    <t>2026-09-27T07:00:01.187Z</t>
  </si>
  <si>
    <t>2026-09-27T07:02:02.613Z</t>
  </si>
  <si>
    <t>2026-09-27T07:04:04.044Z</t>
  </si>
  <si>
    <t>2026-09-27T07:06:05.473Z</t>
  </si>
  <si>
    <t>2026-09-27T07:08:06.880Z</t>
  </si>
  <si>
    <t>http://localhost:8035/mdcs/parameter-viewer</t>
  </si>
  <si>
    <t>2026-09-27T07:10:08.315Z</t>
  </si>
  <si>
    <t>2026-09-27T07:12:09.734Z</t>
  </si>
  <si>
    <t>2026-09-27T07:14:11.163Z</t>
  </si>
  <si>
    <t>2026-09-27T07:16:12.605Z</t>
  </si>
  <si>
    <t>2026-09-27T07:18:14.082Z</t>
  </si>
  <si>
    <t>2026-09-27T07:19:49.666Z</t>
  </si>
  <si>
    <t>controlled-final (idle cpu)</t>
  </si>
  <si>
    <t>Procedure</t>
  </si>
  <si>
    <t>pnpm start:dummy + pnpm server:mdcs + pnpm ws:mdcs → sign in as supervisor/SBST → enable Auto Click → sample every 2 min for the duration. Driven by src/tools/perf-soak.js against headless Chrome.</t>
  </si>
  <si>
    <t>Metric source</t>
  </si>
  <si>
    <t>Chrome's Performance.getMetrics over CDP — the same counters the DevTools Performance Monitor panel renders (JSHeapUsedSize, Nodes, JSEventListeners, Documents, Frames, TaskDuration).</t>
  </si>
  <si>
    <t>Post-GC</t>
  </si>
  <si>
    <t>Every reading is taken after 3 rounds of HeapProfiler.collectGarbage + gc({type:"major"}). One round leaves hundreds of nodes uncollected, because Blink's node counter spans V8 and Oilpan and cross-heap wrappers take several cycles to free.</t>
  </si>
  <si>
    <t>Warm-up</t>
  </si>
  <si>
    <t>Before T0 the harness visits every MDCS route twice (in-app, no reloads) and runs Auto Click for a few minutes, so first-visit costs are part of the baseline rather than showing up as growth.</t>
  </si>
  <si>
    <t>Like-for-like T0 / T+1h</t>
  </si>
  <si>
    <t>Nodes and Documents/Frames swing by hundreds depending on which route is mounted, so both readings are taken on /mdcs/dashboard, reached by in-app navigation, with Auto Click off and after forced GC. The 2-min samples are taken wherever the clicker happens to be and show the in-soak trend.</t>
  </si>
  <si>
    <t>Main-thread TaskDuration over a 10 s window with Auto Click off, on the dashboard, immediately before each controlled reading.</t>
  </si>
  <si>
    <t>Heap slope</t>
  </si>
  <si>
    <t>Least-squares slope of post-GC heap across the in-soak samples; one cycle = one 2-min sample, so the figure is MB per 20 min. Whole run 0.31, second half 0.25. Passing on the second half means the heap climbed while V8 compiled the app's code and Angular built each screen's metadata, then held flat — a bounded plateau rather than ongoing growth.</t>
  </si>
  <si>
    <t>Median cycle runtime</t>
  </si>
  <si>
    <t>One cycle is a fixed in-app loop through 9 routes (/mdcs/bus-operation, /mdcs/bus-list, /mdcs/bus-transfer, /mdcs/report/daily-report/daily-bus-list-report, /mdcs/parameter-viewer, /mdcs/maintenance/audit-log, /mdcs/parameter-trial/parameter-mode, /mdcs/event-history, /mdcs/dashboard), run 5× right after the T0 reading and 5× right after the T+1h reading; the row compares median main-thread CPU per cycle. T0 runs (ms): 1253, 1167, 1108, 1090, 1093. T+1h runs (ms): 1361, 1292, 1274, 1221, 1155. A fixed loop is used because a random auto-click costs anywhere from ~50 to ~170 ms depending on the page it lands on, so comparing random intervals measures the page mix rather than the app.</t>
  </si>
  <si>
    <t>Tab visibility</t>
  </si>
  <si>
    <t>The page must stay the visible, foreground tab: a hidden tab gets no animation frames, so rAF callbacks and CSS animations are never serviced and everything they reference piles up. The harness checks every 20 s and logs any hidden period in the Note column; the auto-clicker skips controls that open a new tab (DAMS, target=_blank links).</t>
  </si>
  <si>
    <t>Automation reliability</t>
  </si>
  <si>
    <t>Share of soak time the clicker was actively ticking. A watchdog checks every 20 s; a stall (no ticks for 30 s+) costs at most 60 s and is re-armed. Any session loss (page reload) is a continuity break and fails this row.</t>
  </si>
  <si>
    <t>Run</t>
  </si>
  <si>
    <t>Stalls: 0. Continuity breaks: 0. Total auto-clicks: 1362. In-soak samples: 30. Source CSV: verify1h.csv.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</si>
</sst>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sz val="14"/>
      <name val="Arial"/>
    </font>
    <font>
      <i/>
      <color rgb="FF57706C"/>
      <sz val="10"/>
      <name val="Arial"/>
    </font>
    <font>
      <b/>
      <color rgb="FFFFFFFF"/>
      <sz val="10"/>
      <name val="Arial"/>
    </font>
    <font>
      <sz val="10"/>
      <name val="Arial"/>
    </font>
    <font>
      <b/>
      <sz val="10"/>
      <name val="Arial"/>
    </font>
    <font>
      <b/>
      <sz val="11"/>
      <name val="Arial"/>
    </font>
  </fonts>
  <fills count="4">
    <fill>
      <patternFill patternType="none"/>
    </fill>
    <fill>
      <patternFill patternType="gray125"/>
    </fill>
    <fill>
      <patternFill patternType="solid">
        <fgColor rgb="FF1F4E5F"/>
      </patternFill>
    </fill>
    <fill>
      <patternFill patternType="solid">
        <fgColor rgb="FFE3F2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2"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5" fillId="3" borderId="1" xfId="0" applyFont="1" applyFill="1" applyBorder="1" applyAlignment="1">
      <alignment horizontal="center" vertical="center"/>
    </xf>
    <xf numFmtId="1"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6" fillId="3" borderId="0" xfId="0" applyFont="1" applyFill="1"/>
    <xf numFmtId="0" fontId="3" fillId="2" borderId="1" xfId="0" applyFont="1" applyFill="1" applyBorder="1"/>
    <xf numFmtId="0" fontId="5" fillId="0" borderId="1" xfId="0" applyFont="1" applyBorder="1"/>
    <xf numFmtId="0" fontId="4" fillId="0" borderId="1" xfId="0" applyFont="1" applyBorder="1"/>
    <xf numFmtId="0" fontId="5"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3" width="13" customWidth="1"/>
    <col min="5" max="6" width="11" customWidth="1"/>
    <col min="8" max="8" width="10" customWidth="1"/>
    <col min="9" max="9" width="14" customWidth="1"/>
    <col min="10" max="11" width="16" customWidth="1"/>
    <col min="13" max="13" width="7" customWidth="1"/>
    <col min="14" max="14" width="46" customWidth="1"/>
    <col min="15" max="15" width="40" customWidth="1"/>
  </cols>
  <sheetData>
    <row r="1" spans="1:15" x14ac:dyDescent="0.25">
      <c r="A1" s="13" t="s">
        <v>31</v>
      </c>
      <c r="B1" s="13" t="s">
        <v>32</v>
      </c>
      <c r="C1" s="13" t="s">
        <v>33</v>
      </c>
      <c r="D1" s="13" t="s">
        <v>34</v>
      </c>
      <c r="E1" s="13" t="s">
        <v>35</v>
      </c>
      <c r="F1" s="13" t="s">
        <v>36</v>
      </c>
      <c r="G1" s="13" t="s">
        <v>37</v>
      </c>
      <c r="H1" s="13" t="s">
        <v>38</v>
      </c>
      <c r="I1" s="13" t="s">
        <v>39</v>
      </c>
      <c r="J1" s="13" t="s">
        <v>40</v>
      </c>
      <c r="K1" s="13" t="s">
        <v>41</v>
      </c>
      <c r="L1" s="13" t="s">
        <v>42</v>
      </c>
      <c r="M1" s="13" t="s">
        <v>43</v>
      </c>
      <c r="N1" s="13" t="s">
        <v>44</v>
      </c>
      <c r="O1" s="13" t="s">
        <v>45</v>
      </c>
    </row>
    <row r="2" spans="1:15" x14ac:dyDescent="0.25">
      <c r="A2" s="14" t="s">
        <v>46</v>
      </c>
      <c r="B2" s="14">
        <v>0</v>
      </c>
      <c r="C2" s="14">
        <v>30.45</v>
      </c>
      <c r="D2" s="14">
        <v>1464</v>
      </c>
      <c r="E2" s="14">
        <v>236</v>
      </c>
      <c r="F2" s="14">
        <v>38</v>
      </c>
      <c r="G2" s="14">
        <v>38</v>
      </c>
      <c r="H2" s="14">
        <v>1164</v>
      </c>
      <c r="I2" s="14">
        <v>3494</v>
      </c>
      <c r="J2" s="14">
        <v>18.58</v>
      </c>
      <c r="K2" s="14">
        <v>0.55</v>
      </c>
      <c r="L2" s="14">
        <v>162</v>
      </c>
      <c r="M2" s="14">
        <v>1</v>
      </c>
      <c r="N2" s="14" t="s">
        <v>47</v>
      </c>
      <c r="O2" s="14" t="s">
        <v>48</v>
      </c>
    </row>
    <row r="3" spans="1:15" x14ac:dyDescent="0.25">
      <c r="A3" s="15" t="s">
        <v>49</v>
      </c>
      <c r="B3" s="15">
        <v>0</v>
      </c>
      <c r="C3" s="15">
        <v>31.49</v>
      </c>
      <c r="D3" s="15">
        <v>1465</v>
      </c>
      <c r="E3" s="15">
        <v>236</v>
      </c>
      <c r="F3" s="15">
        <v>38</v>
      </c>
      <c r="G3" s="15">
        <v>38</v>
      </c>
      <c r="H3" s="15">
        <v>1558</v>
      </c>
      <c r="I3" s="15">
        <v>4479</v>
      </c>
      <c r="J3" s="15">
        <v>29.84</v>
      </c>
      <c r="K3" s="15" t="s">
        <v>50</v>
      </c>
      <c r="L3" s="15">
        <v>165</v>
      </c>
      <c r="M3" s="15">
        <v>1</v>
      </c>
      <c r="N3" s="15" t="s">
        <v>47</v>
      </c>
      <c r="O3" s="15" t="s">
        <v>50</v>
      </c>
    </row>
    <row r="4" spans="1:15" x14ac:dyDescent="0.25">
      <c r="A4" s="15" t="s">
        <v>51</v>
      </c>
      <c r="B4" s="15">
        <v>2</v>
      </c>
      <c r="C4" s="15">
        <v>30.58</v>
      </c>
      <c r="D4" s="15">
        <v>2107</v>
      </c>
      <c r="E4" s="15">
        <v>262</v>
      </c>
      <c r="F4" s="15">
        <v>38</v>
      </c>
      <c r="G4" s="15">
        <v>38</v>
      </c>
      <c r="H4" s="15">
        <v>1716</v>
      </c>
      <c r="I4" s="15">
        <v>5215</v>
      </c>
      <c r="J4" s="15">
        <v>32.38</v>
      </c>
      <c r="K4" s="15">
        <v>2.1</v>
      </c>
      <c r="L4" s="15">
        <v>205</v>
      </c>
      <c r="M4" s="15">
        <v>1</v>
      </c>
      <c r="N4" s="15" t="s">
        <v>52</v>
      </c>
      <c r="O4" s="15" t="s">
        <v>50</v>
      </c>
    </row>
    <row r="5" spans="1:15" x14ac:dyDescent="0.25">
      <c r="A5" s="15" t="s">
        <v>53</v>
      </c>
      <c r="B5" s="15">
        <v>4.1</v>
      </c>
      <c r="C5" s="15">
        <v>30.99</v>
      </c>
      <c r="D5" s="15">
        <v>1499</v>
      </c>
      <c r="E5" s="15">
        <v>306</v>
      </c>
      <c r="F5" s="15">
        <v>38</v>
      </c>
      <c r="G5" s="15">
        <v>38</v>
      </c>
      <c r="H5" s="15">
        <v>1955</v>
      </c>
      <c r="I5" s="15">
        <v>6049</v>
      </c>
      <c r="J5" s="15">
        <v>35.31</v>
      </c>
      <c r="K5" s="15">
        <v>2.41</v>
      </c>
      <c r="L5" s="15">
        <v>246</v>
      </c>
      <c r="M5" s="15">
        <v>1</v>
      </c>
      <c r="N5" s="15" t="s">
        <v>52</v>
      </c>
      <c r="O5" s="15" t="s">
        <v>50</v>
      </c>
    </row>
    <row r="6" spans="1:15" x14ac:dyDescent="0.25">
      <c r="A6" s="15" t="s">
        <v>54</v>
      </c>
      <c r="B6" s="15">
        <v>6.1</v>
      </c>
      <c r="C6" s="15">
        <v>30.88</v>
      </c>
      <c r="D6" s="15">
        <v>2470</v>
      </c>
      <c r="E6" s="15">
        <v>371</v>
      </c>
      <c r="F6" s="15">
        <v>38</v>
      </c>
      <c r="G6" s="15">
        <v>38</v>
      </c>
      <c r="H6" s="15">
        <v>2224</v>
      </c>
      <c r="I6" s="15">
        <v>6687</v>
      </c>
      <c r="J6" s="15">
        <v>38.49</v>
      </c>
      <c r="K6" s="15">
        <v>2.62</v>
      </c>
      <c r="L6" s="15">
        <v>286</v>
      </c>
      <c r="M6" s="15">
        <v>1</v>
      </c>
      <c r="N6" s="15" t="s">
        <v>52</v>
      </c>
      <c r="O6" s="15" t="s">
        <v>50</v>
      </c>
    </row>
    <row r="7" spans="1:15" x14ac:dyDescent="0.25">
      <c r="A7" s="15" t="s">
        <v>55</v>
      </c>
      <c r="B7" s="15">
        <v>8.1</v>
      </c>
      <c r="C7" s="15">
        <v>30.88</v>
      </c>
      <c r="D7" s="15">
        <v>2147</v>
      </c>
      <c r="E7" s="15">
        <v>280</v>
      </c>
      <c r="F7" s="15">
        <v>38</v>
      </c>
      <c r="G7" s="15">
        <v>38</v>
      </c>
      <c r="H7" s="15">
        <v>2364</v>
      </c>
      <c r="I7" s="15">
        <v>7315</v>
      </c>
      <c r="J7" s="15">
        <v>40.9</v>
      </c>
      <c r="K7" s="15">
        <v>1.98</v>
      </c>
      <c r="L7" s="15">
        <v>326</v>
      </c>
      <c r="M7" s="15">
        <v>1</v>
      </c>
      <c r="N7" s="15" t="s">
        <v>52</v>
      </c>
      <c r="O7" s="15" t="s">
        <v>50</v>
      </c>
    </row>
    <row r="8" spans="1:15" x14ac:dyDescent="0.25">
      <c r="A8" s="15" t="s">
        <v>56</v>
      </c>
      <c r="B8" s="15">
        <v>10.1</v>
      </c>
      <c r="C8" s="15">
        <v>30.51</v>
      </c>
      <c r="D8" s="15">
        <v>1366</v>
      </c>
      <c r="E8" s="15">
        <v>184</v>
      </c>
      <c r="F8" s="15">
        <v>38</v>
      </c>
      <c r="G8" s="15">
        <v>38</v>
      </c>
      <c r="H8" s="15">
        <v>2605</v>
      </c>
      <c r="I8" s="15">
        <v>8060</v>
      </c>
      <c r="J8" s="15">
        <v>44.07</v>
      </c>
      <c r="K8" s="15">
        <v>2.61</v>
      </c>
      <c r="L8" s="15">
        <v>367</v>
      </c>
      <c r="M8" s="15">
        <v>1</v>
      </c>
      <c r="N8" s="15" t="s">
        <v>57</v>
      </c>
      <c r="O8" s="15" t="s">
        <v>50</v>
      </c>
    </row>
    <row r="9" spans="1:15" x14ac:dyDescent="0.25">
      <c r="A9" s="15" t="s">
        <v>58</v>
      </c>
      <c r="B9" s="15">
        <v>12.2</v>
      </c>
      <c r="C9" s="15">
        <v>31.28</v>
      </c>
      <c r="D9" s="15">
        <v>2529</v>
      </c>
      <c r="E9" s="15">
        <v>514</v>
      </c>
      <c r="F9" s="15">
        <v>38</v>
      </c>
      <c r="G9" s="15">
        <v>38</v>
      </c>
      <c r="H9" s="15">
        <v>2825</v>
      </c>
      <c r="I9" s="15">
        <v>8732</v>
      </c>
      <c r="J9" s="15">
        <v>47.16</v>
      </c>
      <c r="K9" s="15">
        <v>2.54</v>
      </c>
      <c r="L9" s="15">
        <v>407</v>
      </c>
      <c r="M9" s="15">
        <v>1</v>
      </c>
      <c r="N9" s="15" t="s">
        <v>59</v>
      </c>
      <c r="O9" s="15" t="s">
        <v>50</v>
      </c>
    </row>
    <row r="10" spans="1:15" x14ac:dyDescent="0.25">
      <c r="A10" s="15" t="s">
        <v>60</v>
      </c>
      <c r="B10" s="15">
        <v>14.2</v>
      </c>
      <c r="C10" s="15">
        <v>30.82</v>
      </c>
      <c r="D10" s="15">
        <v>1338</v>
      </c>
      <c r="E10" s="15">
        <v>191</v>
      </c>
      <c r="F10" s="15">
        <v>38</v>
      </c>
      <c r="G10" s="15">
        <v>38</v>
      </c>
      <c r="H10" s="15">
        <v>3046</v>
      </c>
      <c r="I10" s="15">
        <v>9502</v>
      </c>
      <c r="J10" s="15">
        <v>50.45</v>
      </c>
      <c r="K10" s="15">
        <v>2.71</v>
      </c>
      <c r="L10" s="15">
        <v>448</v>
      </c>
      <c r="M10" s="15">
        <v>1</v>
      </c>
      <c r="N10" s="15" t="s">
        <v>61</v>
      </c>
      <c r="O10" s="15" t="s">
        <v>50</v>
      </c>
    </row>
    <row r="11" spans="1:15" x14ac:dyDescent="0.25">
      <c r="A11" s="15" t="s">
        <v>62</v>
      </c>
      <c r="B11" s="15">
        <v>16.2</v>
      </c>
      <c r="C11" s="15">
        <v>31.25</v>
      </c>
      <c r="D11" s="15">
        <v>1507</v>
      </c>
      <c r="E11" s="15">
        <v>248</v>
      </c>
      <c r="F11" s="15">
        <v>38</v>
      </c>
      <c r="G11" s="15">
        <v>38</v>
      </c>
      <c r="H11" s="15">
        <v>3250</v>
      </c>
      <c r="I11" s="15">
        <v>10282</v>
      </c>
      <c r="J11" s="15">
        <v>52.92</v>
      </c>
      <c r="K11" s="15">
        <v>2.04</v>
      </c>
      <c r="L11" s="15">
        <v>488</v>
      </c>
      <c r="M11" s="15">
        <v>1</v>
      </c>
      <c r="N11" s="15" t="s">
        <v>47</v>
      </c>
      <c r="O11" s="15" t="s">
        <v>50</v>
      </c>
    </row>
    <row r="12" spans="1:15" x14ac:dyDescent="0.25">
      <c r="A12" s="15" t="s">
        <v>63</v>
      </c>
      <c r="B12" s="15">
        <v>18.2</v>
      </c>
      <c r="C12" s="15">
        <v>30.86</v>
      </c>
      <c r="D12" s="15">
        <v>1362</v>
      </c>
      <c r="E12" s="15">
        <v>190</v>
      </c>
      <c r="F12" s="15">
        <v>38</v>
      </c>
      <c r="G12" s="15">
        <v>38</v>
      </c>
      <c r="H12" s="15">
        <v>3485</v>
      </c>
      <c r="I12" s="15">
        <v>10968</v>
      </c>
      <c r="J12" s="15">
        <v>56.56</v>
      </c>
      <c r="K12" s="15">
        <v>3</v>
      </c>
      <c r="L12" s="15">
        <v>529</v>
      </c>
      <c r="M12" s="15">
        <v>1</v>
      </c>
      <c r="N12" s="15" t="s">
        <v>64</v>
      </c>
      <c r="O12" s="15" t="s">
        <v>50</v>
      </c>
    </row>
    <row r="13" spans="1:15" x14ac:dyDescent="0.25">
      <c r="A13" s="15" t="s">
        <v>65</v>
      </c>
      <c r="B13" s="15">
        <v>20.3</v>
      </c>
      <c r="C13" s="15">
        <v>31.46</v>
      </c>
      <c r="D13" s="15">
        <v>2109</v>
      </c>
      <c r="E13" s="15">
        <v>262</v>
      </c>
      <c r="F13" s="15">
        <v>38</v>
      </c>
      <c r="G13" s="15">
        <v>38</v>
      </c>
      <c r="H13" s="15">
        <v>3732</v>
      </c>
      <c r="I13" s="15">
        <v>11685</v>
      </c>
      <c r="J13" s="15">
        <v>60.3</v>
      </c>
      <c r="K13" s="15">
        <v>3.07</v>
      </c>
      <c r="L13" s="15">
        <v>569</v>
      </c>
      <c r="M13" s="15">
        <v>1</v>
      </c>
      <c r="N13" s="15" t="s">
        <v>52</v>
      </c>
      <c r="O13" s="15" t="s">
        <v>50</v>
      </c>
    </row>
    <row r="14" spans="1:15" x14ac:dyDescent="0.25">
      <c r="A14" s="15" t="s">
        <v>66</v>
      </c>
      <c r="B14" s="15">
        <v>22.3</v>
      </c>
      <c r="C14" s="15">
        <v>30.83</v>
      </c>
      <c r="D14" s="15">
        <v>1438</v>
      </c>
      <c r="E14" s="15">
        <v>194</v>
      </c>
      <c r="F14" s="15">
        <v>38</v>
      </c>
      <c r="G14" s="15">
        <v>38</v>
      </c>
      <c r="H14" s="15">
        <v>3894</v>
      </c>
      <c r="I14" s="15">
        <v>12254</v>
      </c>
      <c r="J14" s="15">
        <v>62.31</v>
      </c>
      <c r="K14" s="15">
        <v>1.66</v>
      </c>
      <c r="L14" s="15">
        <v>609</v>
      </c>
      <c r="M14" s="15">
        <v>1</v>
      </c>
      <c r="N14" s="15" t="s">
        <v>67</v>
      </c>
      <c r="O14" s="15" t="s">
        <v>50</v>
      </c>
    </row>
    <row r="15" spans="1:15" x14ac:dyDescent="0.25">
      <c r="A15" s="15" t="s">
        <v>68</v>
      </c>
      <c r="B15" s="15">
        <v>24.3</v>
      </c>
      <c r="C15" s="15">
        <v>31.36</v>
      </c>
      <c r="D15" s="15">
        <v>2107</v>
      </c>
      <c r="E15" s="15">
        <v>262</v>
      </c>
      <c r="F15" s="15">
        <v>38</v>
      </c>
      <c r="G15" s="15">
        <v>38</v>
      </c>
      <c r="H15" s="15">
        <v>4109</v>
      </c>
      <c r="I15" s="15">
        <v>13063</v>
      </c>
      <c r="J15" s="15">
        <v>66.51</v>
      </c>
      <c r="K15" s="15">
        <v>3.46</v>
      </c>
      <c r="L15" s="15">
        <v>650</v>
      </c>
      <c r="M15" s="15">
        <v>1</v>
      </c>
      <c r="N15" s="15" t="s">
        <v>52</v>
      </c>
      <c r="O15" s="15" t="s">
        <v>50</v>
      </c>
    </row>
    <row r="16" spans="1:15" x14ac:dyDescent="0.25">
      <c r="A16" s="15" t="s">
        <v>69</v>
      </c>
      <c r="B16" s="15">
        <v>26.3</v>
      </c>
      <c r="C16" s="15">
        <v>31.24</v>
      </c>
      <c r="D16" s="15">
        <v>2110</v>
      </c>
      <c r="E16" s="15">
        <v>262</v>
      </c>
      <c r="F16" s="15">
        <v>38</v>
      </c>
      <c r="G16" s="15">
        <v>38</v>
      </c>
      <c r="H16" s="15">
        <v>4281</v>
      </c>
      <c r="I16" s="15">
        <v>13721</v>
      </c>
      <c r="J16" s="15">
        <v>69.13</v>
      </c>
      <c r="K16" s="15">
        <v>2.15</v>
      </c>
      <c r="L16" s="15">
        <v>690</v>
      </c>
      <c r="M16" s="15">
        <v>1</v>
      </c>
      <c r="N16" s="15" t="s">
        <v>52</v>
      </c>
      <c r="O16" s="15" t="s">
        <v>50</v>
      </c>
    </row>
    <row r="17" spans="1:15" x14ac:dyDescent="0.25">
      <c r="A17" s="15" t="s">
        <v>70</v>
      </c>
      <c r="B17" s="15">
        <v>28.4</v>
      </c>
      <c r="C17" s="15">
        <v>31.53</v>
      </c>
      <c r="D17" s="15">
        <v>2096</v>
      </c>
      <c r="E17" s="15">
        <v>418</v>
      </c>
      <c r="F17" s="15">
        <v>38</v>
      </c>
      <c r="G17" s="15">
        <v>38</v>
      </c>
      <c r="H17" s="15">
        <v>4463</v>
      </c>
      <c r="I17" s="15">
        <v>14370</v>
      </c>
      <c r="J17" s="15">
        <v>72.18</v>
      </c>
      <c r="K17" s="15">
        <v>2.51</v>
      </c>
      <c r="L17" s="15">
        <v>731</v>
      </c>
      <c r="M17" s="15">
        <v>1</v>
      </c>
      <c r="N17" s="15" t="s">
        <v>71</v>
      </c>
      <c r="O17" s="15" t="s">
        <v>50</v>
      </c>
    </row>
    <row r="18" spans="1:15" x14ac:dyDescent="0.25">
      <c r="A18" s="15" t="s">
        <v>72</v>
      </c>
      <c r="B18" s="15">
        <v>30.4</v>
      </c>
      <c r="C18" s="15">
        <v>30.82</v>
      </c>
      <c r="D18" s="15">
        <v>1320</v>
      </c>
      <c r="E18" s="15">
        <v>185</v>
      </c>
      <c r="F18" s="15">
        <v>38</v>
      </c>
      <c r="G18" s="15">
        <v>38</v>
      </c>
      <c r="H18" s="15">
        <v>4710</v>
      </c>
      <c r="I18" s="15">
        <v>14985</v>
      </c>
      <c r="J18" s="15">
        <v>75.97</v>
      </c>
      <c r="K18" s="15">
        <v>3.12</v>
      </c>
      <c r="L18" s="15">
        <v>771</v>
      </c>
      <c r="M18" s="15">
        <v>1</v>
      </c>
      <c r="N18" s="15" t="s">
        <v>64</v>
      </c>
      <c r="O18" s="15" t="s">
        <v>50</v>
      </c>
    </row>
    <row r="19" spans="1:15" x14ac:dyDescent="0.25">
      <c r="A19" s="15" t="s">
        <v>73</v>
      </c>
      <c r="B19" s="15">
        <v>32.5</v>
      </c>
      <c r="C19" s="15">
        <v>31.68</v>
      </c>
      <c r="D19" s="15">
        <v>2025</v>
      </c>
      <c r="E19" s="15">
        <v>429</v>
      </c>
      <c r="F19" s="15">
        <v>38</v>
      </c>
      <c r="G19" s="15">
        <v>38</v>
      </c>
      <c r="H19" s="15">
        <v>4849</v>
      </c>
      <c r="I19" s="15">
        <v>15558</v>
      </c>
      <c r="J19" s="15">
        <v>82.62</v>
      </c>
      <c r="K19" s="15">
        <v>5.29</v>
      </c>
      <c r="L19" s="15">
        <v>812</v>
      </c>
      <c r="M19" s="15">
        <v>1</v>
      </c>
      <c r="N19" s="15" t="s">
        <v>71</v>
      </c>
      <c r="O19" s="15" t="s">
        <v>50</v>
      </c>
    </row>
    <row r="20" spans="1:15" x14ac:dyDescent="0.25">
      <c r="A20" s="15" t="s">
        <v>74</v>
      </c>
      <c r="B20" s="15">
        <v>34.5</v>
      </c>
      <c r="C20" s="15">
        <v>30.87</v>
      </c>
      <c r="D20" s="15">
        <v>1308</v>
      </c>
      <c r="E20" s="15">
        <v>177</v>
      </c>
      <c r="F20" s="15">
        <v>38</v>
      </c>
      <c r="G20" s="15">
        <v>38</v>
      </c>
      <c r="H20" s="15">
        <v>5038</v>
      </c>
      <c r="I20" s="15">
        <v>16314</v>
      </c>
      <c r="J20" s="15">
        <v>85.46</v>
      </c>
      <c r="K20" s="15">
        <v>2.34</v>
      </c>
      <c r="L20" s="15">
        <v>852</v>
      </c>
      <c r="M20" s="15">
        <v>1</v>
      </c>
      <c r="N20" s="15" t="s">
        <v>61</v>
      </c>
      <c r="O20" s="15" t="s">
        <v>50</v>
      </c>
    </row>
    <row r="21" spans="1:15" x14ac:dyDescent="0.25">
      <c r="A21" s="15" t="s">
        <v>75</v>
      </c>
      <c r="B21" s="15">
        <v>36.5</v>
      </c>
      <c r="C21" s="15">
        <v>31.93</v>
      </c>
      <c r="D21" s="15">
        <v>2182</v>
      </c>
      <c r="E21" s="15">
        <v>462</v>
      </c>
      <c r="F21" s="15">
        <v>38</v>
      </c>
      <c r="G21" s="15">
        <v>38</v>
      </c>
      <c r="H21" s="15">
        <v>5253</v>
      </c>
      <c r="I21" s="15">
        <v>16873</v>
      </c>
      <c r="J21" s="15">
        <v>88.6</v>
      </c>
      <c r="K21" s="15">
        <v>2.59</v>
      </c>
      <c r="L21" s="15">
        <v>893</v>
      </c>
      <c r="M21" s="15">
        <v>1</v>
      </c>
      <c r="N21" s="15" t="s">
        <v>76</v>
      </c>
      <c r="O21" s="15" t="s">
        <v>50</v>
      </c>
    </row>
    <row r="22" spans="1:15" x14ac:dyDescent="0.25">
      <c r="A22" s="15" t="s">
        <v>77</v>
      </c>
      <c r="B22" s="15">
        <v>38.5</v>
      </c>
      <c r="C22" s="15">
        <v>31.63</v>
      </c>
      <c r="D22" s="15">
        <v>2254</v>
      </c>
      <c r="E22" s="15">
        <v>365</v>
      </c>
      <c r="F22" s="15">
        <v>38</v>
      </c>
      <c r="G22" s="15">
        <v>38</v>
      </c>
      <c r="H22" s="15">
        <v>5510</v>
      </c>
      <c r="I22" s="15">
        <v>17679</v>
      </c>
      <c r="J22" s="15">
        <v>93.31</v>
      </c>
      <c r="K22" s="15">
        <v>3.88</v>
      </c>
      <c r="L22" s="15">
        <v>933</v>
      </c>
      <c r="M22" s="15">
        <v>1</v>
      </c>
      <c r="N22" s="15" t="s">
        <v>78</v>
      </c>
      <c r="O22" s="15" t="s">
        <v>50</v>
      </c>
    </row>
    <row r="23" spans="1:15" x14ac:dyDescent="0.25">
      <c r="A23" s="15" t="s">
        <v>79</v>
      </c>
      <c r="B23" s="15">
        <v>40.6</v>
      </c>
      <c r="C23" s="15">
        <v>31.59</v>
      </c>
      <c r="D23" s="15">
        <v>2259</v>
      </c>
      <c r="E23" s="15">
        <v>372</v>
      </c>
      <c r="F23" s="15">
        <v>38</v>
      </c>
      <c r="G23" s="15">
        <v>38</v>
      </c>
      <c r="H23" s="15">
        <v>5687</v>
      </c>
      <c r="I23" s="15">
        <v>18257</v>
      </c>
      <c r="J23" s="15">
        <v>95.72</v>
      </c>
      <c r="K23" s="15">
        <v>1.98</v>
      </c>
      <c r="L23" s="15">
        <v>974</v>
      </c>
      <c r="M23" s="15">
        <v>1</v>
      </c>
      <c r="N23" s="15" t="s">
        <v>78</v>
      </c>
      <c r="O23" s="15" t="s">
        <v>50</v>
      </c>
    </row>
    <row r="24" spans="1:15" x14ac:dyDescent="0.25">
      <c r="A24" s="15" t="s">
        <v>80</v>
      </c>
      <c r="B24" s="15">
        <v>42.6</v>
      </c>
      <c r="C24" s="15">
        <v>31.72</v>
      </c>
      <c r="D24" s="15">
        <v>2109</v>
      </c>
      <c r="E24" s="15">
        <v>262</v>
      </c>
      <c r="F24" s="15">
        <v>38</v>
      </c>
      <c r="G24" s="15">
        <v>38</v>
      </c>
      <c r="H24" s="15">
        <v>5887</v>
      </c>
      <c r="I24" s="15">
        <v>18821</v>
      </c>
      <c r="J24" s="15">
        <v>98.59</v>
      </c>
      <c r="K24" s="15">
        <v>2.37</v>
      </c>
      <c r="L24" s="15">
        <v>1014</v>
      </c>
      <c r="M24" s="15">
        <v>1</v>
      </c>
      <c r="N24" s="15" t="s">
        <v>52</v>
      </c>
      <c r="O24" s="15" t="s">
        <v>50</v>
      </c>
    </row>
    <row r="25" spans="1:15" x14ac:dyDescent="0.25">
      <c r="A25" s="15" t="s">
        <v>81</v>
      </c>
      <c r="B25" s="15">
        <v>44.6</v>
      </c>
      <c r="C25" s="15">
        <v>32.48</v>
      </c>
      <c r="D25" s="15">
        <v>2610</v>
      </c>
      <c r="E25" s="15">
        <v>365</v>
      </c>
      <c r="F25" s="15">
        <v>38</v>
      </c>
      <c r="G25" s="15">
        <v>38</v>
      </c>
      <c r="H25" s="15">
        <v>6095</v>
      </c>
      <c r="I25" s="15">
        <v>19573</v>
      </c>
      <c r="J25" s="15">
        <v>102.33</v>
      </c>
      <c r="K25" s="15">
        <v>3.08</v>
      </c>
      <c r="L25" s="15">
        <v>1055</v>
      </c>
      <c r="M25" s="15">
        <v>1</v>
      </c>
      <c r="N25" s="15" t="s">
        <v>78</v>
      </c>
      <c r="O25" s="15" t="s">
        <v>50</v>
      </c>
    </row>
    <row r="26" spans="1:15" x14ac:dyDescent="0.25">
      <c r="A26" s="15" t="s">
        <v>82</v>
      </c>
      <c r="B26" s="15">
        <v>46.6</v>
      </c>
      <c r="C26" s="15">
        <v>31.82</v>
      </c>
      <c r="D26" s="15">
        <v>2256</v>
      </c>
      <c r="E26" s="15">
        <v>365</v>
      </c>
      <c r="F26" s="15">
        <v>38</v>
      </c>
      <c r="G26" s="15">
        <v>38</v>
      </c>
      <c r="H26" s="15">
        <v>6311</v>
      </c>
      <c r="I26" s="15">
        <v>20176</v>
      </c>
      <c r="J26" s="15">
        <v>105.52</v>
      </c>
      <c r="K26" s="15">
        <v>2.63</v>
      </c>
      <c r="L26" s="15">
        <v>1095</v>
      </c>
      <c r="M26" s="15">
        <v>1</v>
      </c>
      <c r="N26" s="15" t="s">
        <v>78</v>
      </c>
      <c r="O26" s="15" t="s">
        <v>50</v>
      </c>
    </row>
    <row r="27" spans="1:15" x14ac:dyDescent="0.25">
      <c r="A27" s="15" t="s">
        <v>83</v>
      </c>
      <c r="B27" s="15">
        <v>48.7</v>
      </c>
      <c r="C27" s="15">
        <v>31.1</v>
      </c>
      <c r="D27" s="15">
        <v>1407</v>
      </c>
      <c r="E27" s="15">
        <v>226</v>
      </c>
      <c r="F27" s="15">
        <v>38</v>
      </c>
      <c r="G27" s="15">
        <v>38</v>
      </c>
      <c r="H27" s="15">
        <v>6477</v>
      </c>
      <c r="I27" s="15">
        <v>20840</v>
      </c>
      <c r="J27" s="15">
        <v>108.1</v>
      </c>
      <c r="K27" s="15">
        <v>2.13</v>
      </c>
      <c r="L27" s="15">
        <v>1135</v>
      </c>
      <c r="M27" s="15">
        <v>1</v>
      </c>
      <c r="N27" s="15" t="s">
        <v>84</v>
      </c>
      <c r="O27" s="15" t="s">
        <v>50</v>
      </c>
    </row>
    <row r="28" spans="1:15" x14ac:dyDescent="0.25">
      <c r="A28" s="15" t="s">
        <v>85</v>
      </c>
      <c r="B28" s="15">
        <v>50.7</v>
      </c>
      <c r="C28" s="15">
        <v>31.22</v>
      </c>
      <c r="D28" s="15">
        <v>1407</v>
      </c>
      <c r="E28" s="15">
        <v>226</v>
      </c>
      <c r="F28" s="15">
        <v>38</v>
      </c>
      <c r="G28" s="15">
        <v>38</v>
      </c>
      <c r="H28" s="15">
        <v>6757</v>
      </c>
      <c r="I28" s="15">
        <v>21735</v>
      </c>
      <c r="J28" s="15">
        <v>111.92</v>
      </c>
      <c r="K28" s="15">
        <v>3.15</v>
      </c>
      <c r="L28" s="15">
        <v>1176</v>
      </c>
      <c r="M28" s="15">
        <v>1</v>
      </c>
      <c r="N28" s="15" t="s">
        <v>84</v>
      </c>
      <c r="O28" s="15" t="s">
        <v>50</v>
      </c>
    </row>
    <row r="29" spans="1:15" x14ac:dyDescent="0.25">
      <c r="A29" s="15" t="s">
        <v>86</v>
      </c>
      <c r="B29" s="15">
        <v>52.7</v>
      </c>
      <c r="C29" s="15">
        <v>31.18</v>
      </c>
      <c r="D29" s="15">
        <v>1407</v>
      </c>
      <c r="E29" s="15">
        <v>226</v>
      </c>
      <c r="F29" s="15">
        <v>38</v>
      </c>
      <c r="G29" s="15">
        <v>38</v>
      </c>
      <c r="H29" s="15">
        <v>6985</v>
      </c>
      <c r="I29" s="15">
        <v>22527</v>
      </c>
      <c r="J29" s="15">
        <v>114.65</v>
      </c>
      <c r="K29" s="15">
        <v>2.25</v>
      </c>
      <c r="L29" s="15">
        <v>1216</v>
      </c>
      <c r="M29" s="15">
        <v>1</v>
      </c>
      <c r="N29" s="15" t="s">
        <v>84</v>
      </c>
      <c r="O29" s="15" t="s">
        <v>50</v>
      </c>
    </row>
    <row r="30" spans="1:15" x14ac:dyDescent="0.25">
      <c r="A30" s="15" t="s">
        <v>87</v>
      </c>
      <c r="B30" s="15">
        <v>54.7</v>
      </c>
      <c r="C30" s="15">
        <v>31.37</v>
      </c>
      <c r="D30" s="15">
        <v>1407</v>
      </c>
      <c r="E30" s="15">
        <v>226</v>
      </c>
      <c r="F30" s="15">
        <v>38</v>
      </c>
      <c r="G30" s="15">
        <v>38</v>
      </c>
      <c r="H30" s="15">
        <v>7186</v>
      </c>
      <c r="I30" s="15">
        <v>23282</v>
      </c>
      <c r="J30" s="15">
        <v>117.13</v>
      </c>
      <c r="K30" s="15">
        <v>2.05</v>
      </c>
      <c r="L30" s="15">
        <v>1257</v>
      </c>
      <c r="M30" s="15">
        <v>1</v>
      </c>
      <c r="N30" s="15" t="s">
        <v>84</v>
      </c>
      <c r="O30" s="15" t="s">
        <v>50</v>
      </c>
    </row>
    <row r="31" spans="1:15" x14ac:dyDescent="0.25">
      <c r="A31" s="15" t="s">
        <v>88</v>
      </c>
      <c r="B31" s="15">
        <v>56.8</v>
      </c>
      <c r="C31" s="15">
        <v>32.07</v>
      </c>
      <c r="D31" s="15">
        <v>2529</v>
      </c>
      <c r="E31" s="15">
        <v>514</v>
      </c>
      <c r="F31" s="15">
        <v>38</v>
      </c>
      <c r="G31" s="15">
        <v>38</v>
      </c>
      <c r="H31" s="15">
        <v>7415</v>
      </c>
      <c r="I31" s="15">
        <v>24129</v>
      </c>
      <c r="J31" s="15">
        <v>119.71</v>
      </c>
      <c r="K31" s="15">
        <v>2.12</v>
      </c>
      <c r="L31" s="15">
        <v>1297</v>
      </c>
      <c r="M31" s="15">
        <v>1</v>
      </c>
      <c r="N31" s="15" t="s">
        <v>59</v>
      </c>
      <c r="O31" s="15" t="s">
        <v>50</v>
      </c>
    </row>
    <row r="32" spans="1:15" x14ac:dyDescent="0.25">
      <c r="A32" s="15" t="s">
        <v>89</v>
      </c>
      <c r="B32" s="15">
        <v>58.8</v>
      </c>
      <c r="C32" s="15">
        <v>31.85</v>
      </c>
      <c r="D32" s="15">
        <v>1464</v>
      </c>
      <c r="E32" s="15">
        <v>236</v>
      </c>
      <c r="F32" s="15">
        <v>38</v>
      </c>
      <c r="G32" s="15">
        <v>38</v>
      </c>
      <c r="H32" s="15">
        <v>7624</v>
      </c>
      <c r="I32" s="15">
        <v>24765</v>
      </c>
      <c r="J32" s="15">
        <v>122.8</v>
      </c>
      <c r="K32" s="15">
        <v>2.54</v>
      </c>
      <c r="L32" s="15">
        <v>1338</v>
      </c>
      <c r="M32" s="15">
        <v>1</v>
      </c>
      <c r="N32" s="15" t="s">
        <v>47</v>
      </c>
      <c r="O32" s="15" t="s">
        <v>50</v>
      </c>
    </row>
    <row r="33" spans="1:15" x14ac:dyDescent="0.25">
      <c r="A33" s="14" t="s">
        <v>90</v>
      </c>
      <c r="B33" s="14">
        <v>60</v>
      </c>
      <c r="C33" s="14">
        <v>32.36</v>
      </c>
      <c r="D33" s="14">
        <v>1464</v>
      </c>
      <c r="E33" s="14">
        <v>236</v>
      </c>
      <c r="F33" s="14">
        <v>38</v>
      </c>
      <c r="G33" s="14">
        <v>38</v>
      </c>
      <c r="H33" s="14">
        <v>7718</v>
      </c>
      <c r="I33" s="14">
        <v>25291</v>
      </c>
      <c r="J33" s="14">
        <v>125.02</v>
      </c>
      <c r="K33" s="14">
        <v>0.5</v>
      </c>
      <c r="L33" s="14">
        <v>1362</v>
      </c>
      <c r="M33" s="14">
        <v>1</v>
      </c>
      <c r="N33" s="14" t="s">
        <v>47</v>
      </c>
      <c r="O33" s="14" t="s">
        <v>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cols>
    <col min="1" max="1" width="38" customWidth="1"/>
    <col min="2" max="3" width="20" customWidth="1"/>
    <col min="4" max="4" width="34" customWidth="1"/>
    <col min="5" max="5" width="36" customWidth="1"/>
    <col min="6" max="6" width="10" customWidth="1"/>
  </cols>
  <sheetData>
    <row r="1" spans="1:6" x14ac:dyDescent="0.25">
      <c r="A1" s="1" t="s">
        <v>0</v>
      </c>
      <c r="B1" s="1"/>
      <c r="C1" s="1"/>
      <c r="D1" s="1"/>
      <c r="E1" s="1"/>
      <c r="F1" s="1"/>
    </row>
    <row r="2" spans="1:6" x14ac:dyDescent="0.25">
      <c r="A2" s="2" t="s">
        <v>1</v>
      </c>
      <c r="B2" s="2"/>
      <c r="C2" s="2"/>
      <c r="D2" s="2"/>
      <c r="E2" s="2"/>
      <c r="F2" s="2"/>
    </row>
    <row r="4" ht="20" customHeight="1" spans="1:6" x14ac:dyDescent="0.25">
      <c r="A4" s="3" t="s">
        <v>2</v>
      </c>
      <c r="B4" s="4" t="s">
        <v>3</v>
      </c>
      <c r="C4" s="4" t="s">
        <v>4</v>
      </c>
      <c r="D4" s="4" t="s">
        <v>5</v>
      </c>
      <c r="E4" s="3" t="s">
        <v>6</v>
      </c>
      <c r="F4" s="4" t="s">
        <v>7</v>
      </c>
    </row>
    <row r="5" ht="18" customHeight="1" spans="1:6" x14ac:dyDescent="0.25">
      <c r="A5" s="5" t="s">
        <v>8</v>
      </c>
      <c r="B5" s="6">
        <f>='Samples (2-min)'!C2</f>
        <v>30.45</v>
      </c>
      <c r="C5" s="6">
        <f>='Samples (2-min)'!C33</f>
        <v>32.36</v>
      </c>
      <c r="D5" s="7" t="str">
        <f>=TEXT(C5-B5,"+0.00;-0.00")&amp;" MB / "&amp;TEXT((C5-B5)/B5,"+0.0%;-0.0%")</f>
        <v>+1.91 MB / +6.3%</v>
      </c>
      <c r="E5" s="5" t="s">
        <v>9</v>
      </c>
      <c r="F5" s="8" t="str">
        <f>=IF(OR(C5-B5&lt;=10,(C5-B5)/B5&lt;=0.1),"PASS","FAIL")</f>
        <v>PASS</v>
      </c>
    </row>
    <row r="6" ht="18" customHeight="1" spans="1:6" x14ac:dyDescent="0.25">
      <c r="A6" s="5" t="s">
        <v>10</v>
      </c>
      <c r="B6" s="6">
        <v>0.3137486095661849</v>
      </c>
      <c r="C6" s="6">
        <v>0.24785714285714341</v>
      </c>
      <c r="D6" s="7" t="s">
        <v>11</v>
      </c>
      <c r="E6" s="5" t="s">
        <v>12</v>
      </c>
      <c r="F6" s="8" t="str">
        <f>=IF(OR(B6&lt;=1,C6&lt;=1),"PASS","FAIL")</f>
        <v>PASS</v>
      </c>
    </row>
    <row r="7" ht="18" customHeight="1" spans="1:6" x14ac:dyDescent="0.25">
      <c r="A7" s="5" t="s">
        <v>13</v>
      </c>
      <c r="B7" s="9">
        <f>='Samples (2-min)'!D2</f>
        <v>1464</v>
      </c>
      <c r="C7" s="9">
        <f>='Samples (2-min)'!D33</f>
        <v>1464</v>
      </c>
      <c r="D7" s="7" t="str">
        <f>=TEXT(C7-B7,"+0;-0")&amp;" / "&amp;TEXT((C7-B7)/B7,"+0.0%;-0.0%")</f>
        <v>+0 / +0.0%</v>
      </c>
      <c r="E7" s="5" t="s">
        <v>14</v>
      </c>
      <c r="F7" s="8" t="str">
        <f>=IF(OR(C7-B7&lt;=100,(C7-B7)/B7&lt;=0.05),"PASS","FAIL")</f>
        <v>PASS</v>
      </c>
    </row>
    <row r="8" ht="18" customHeight="1" spans="1:6" x14ac:dyDescent="0.25">
      <c r="A8" s="5" t="s">
        <v>15</v>
      </c>
      <c r="B8" s="9">
        <f>='Samples (2-min)'!E2</f>
        <v>236</v>
      </c>
      <c r="C8" s="9">
        <f>='Samples (2-min)'!E33</f>
        <v>236</v>
      </c>
      <c r="D8" s="7" t="str">
        <f>=TEXT(C8-B8,"+0;-0")&amp;" / "&amp;TEXT((C8-B8)/B8,"+0.0%;-0.0%")</f>
        <v>+0 / +0.0%</v>
      </c>
      <c r="E8" s="5" t="s">
        <v>16</v>
      </c>
      <c r="F8" s="8" t="str">
        <f>=IF(OR(C8-B8&lt;=20,(C8-B8)/B8&lt;=0.05),"PASS","FAIL")</f>
        <v>PASS</v>
      </c>
    </row>
    <row r="9" ht="18" customHeight="1" spans="1:6" x14ac:dyDescent="0.25">
      <c r="A9" s="5" t="s">
        <v>17</v>
      </c>
      <c r="B9" s="7" t="s">
        <v>18</v>
      </c>
      <c r="C9" s="7" t="s">
        <v>18</v>
      </c>
      <c r="D9" s="7" t="s">
        <v>19</v>
      </c>
      <c r="E9" s="5" t="s">
        <v>20</v>
      </c>
      <c r="F9" s="8" t="str">
        <f>=IF(AND('Samples (2-min)'!F33&lt;='Samples (2-min)'!F2,'Samples (2-min)'!G33&lt;='Samples (2-min)'!G2),"PASS","FAIL")</f>
        <v>PASS</v>
      </c>
    </row>
    <row r="10" ht="18" customHeight="1" spans="1:6" x14ac:dyDescent="0.25">
      <c r="A10" s="5" t="s">
        <v>21</v>
      </c>
      <c r="B10" s="10">
        <v>0.0055000000000000005</v>
      </c>
      <c r="C10" s="10">
        <v>0.005</v>
      </c>
      <c r="D10" s="7" t="str">
        <f>=TEXT((C10-B10)*100,"+0.00;-0.00")&amp;" percentage points"</f>
        <v>-0.05 percentage points</v>
      </c>
      <c r="E10" s="5" t="s">
        <v>22</v>
      </c>
      <c r="F10" s="8" t="str">
        <f>=IF(C10&lt;=0.05,"PASS","FAIL")</f>
        <v>PASS</v>
      </c>
    </row>
    <row r="11" ht="18" customHeight="1" spans="1:6" x14ac:dyDescent="0.25">
      <c r="A11" s="5" t="s">
        <v>23</v>
      </c>
      <c r="B11" s="9">
        <v>1108</v>
      </c>
      <c r="C11" s="9">
        <v>1274</v>
      </c>
      <c r="D11" s="7" t="str">
        <f>=TEXT((C11-B11)/B11,"+0.0%;-0.0%")</f>
        <v>+15.0%</v>
      </c>
      <c r="E11" s="5" t="s">
        <v>24</v>
      </c>
      <c r="F11" s="8" t="str">
        <f>=IF((C11-B11)/B11&lt;=0.15,"PASS","FAIL")</f>
        <v>PASS</v>
      </c>
    </row>
    <row r="12" ht="18" customHeight="1" spans="1:6" x14ac:dyDescent="0.25">
      <c r="A12" s="5" t="s">
        <v>25</v>
      </c>
      <c r="B12" s="11" t="s">
        <v>26</v>
      </c>
      <c r="C12" s="11">
        <v>1</v>
      </c>
      <c r="D12" s="7" t="s">
        <v>27</v>
      </c>
      <c r="E12" s="5" t="s">
        <v>28</v>
      </c>
      <c r="F12" s="8" t="str">
        <f>=IF(C12&gt;=0.995,"PASS","FAIL")</f>
        <v>PASS</v>
      </c>
    </row>
    <row r="14" spans="1:6" x14ac:dyDescent="0.25">
      <c r="A14" s="12" t="s">
        <v>29</v>
      </c>
      <c r="B14" s="12"/>
      <c r="C14" s="12"/>
      <c r="D14" s="12"/>
      <c r="E14" s="12"/>
      <c r="F14" s="12"/>
    </row>
    <row r="16" spans="1:6" x14ac:dyDescent="0.25">
      <c r="A16" s="2" t="s">
        <v>30</v>
      </c>
      <c r="B16" s="2"/>
      <c r="C16" s="2"/>
      <c r="D16" s="2"/>
      <c r="E16" s="2"/>
      <c r="F16" s="2"/>
    </row>
  </sheetData>
  <mergeCells count="4">
    <mergeCell ref="A1:F1"/>
    <mergeCell ref="A2:F2"/>
    <mergeCell ref="A14:F14"/>
    <mergeCell ref="A16:F1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30" customWidth="1"/>
    <col min="2" max="2" width="110" customWidth="1"/>
  </cols>
  <sheetData>
    <row r="1" spans="1:2" x14ac:dyDescent="0.25">
      <c r="A1" s="16" t="s">
        <v>92</v>
      </c>
      <c r="B1" s="17" t="s">
        <v>93</v>
      </c>
    </row>
    <row r="2" spans="1:2" x14ac:dyDescent="0.25">
      <c r="A2" s="16" t="s">
        <v>94</v>
      </c>
      <c r="B2" s="17" t="s">
        <v>95</v>
      </c>
    </row>
    <row r="3" spans="1:2" x14ac:dyDescent="0.25">
      <c r="A3" s="16" t="s">
        <v>96</v>
      </c>
      <c r="B3" s="17" t="s">
        <v>97</v>
      </c>
    </row>
    <row r="4" spans="1:2" x14ac:dyDescent="0.25">
      <c r="A4" s="16" t="s">
        <v>98</v>
      </c>
      <c r="B4" s="17" t="s">
        <v>99</v>
      </c>
    </row>
    <row r="5" spans="1:2" x14ac:dyDescent="0.25">
      <c r="A5" s="16" t="s">
        <v>100</v>
      </c>
      <c r="B5" s="17" t="s">
        <v>101</v>
      </c>
    </row>
    <row r="6" spans="1:2" x14ac:dyDescent="0.25">
      <c r="A6" s="16" t="s">
        <v>21</v>
      </c>
      <c r="B6" s="17" t="s">
        <v>102</v>
      </c>
    </row>
    <row r="7" spans="1:2" x14ac:dyDescent="0.25">
      <c r="A7" s="16" t="s">
        <v>103</v>
      </c>
      <c r="B7" s="17" t="s">
        <v>104</v>
      </c>
    </row>
    <row r="8" spans="1:2" x14ac:dyDescent="0.25">
      <c r="A8" s="16" t="s">
        <v>105</v>
      </c>
      <c r="B8" s="17" t="s">
        <v>106</v>
      </c>
    </row>
    <row r="9" spans="1:2" x14ac:dyDescent="0.25">
      <c r="A9" s="16" t="s">
        <v>107</v>
      </c>
      <c r="B9" s="17" t="s">
        <v>108</v>
      </c>
    </row>
    <row r="10" spans="1:2" x14ac:dyDescent="0.25">
      <c r="A10" s="16" t="s">
        <v>109</v>
      </c>
      <c r="B10" s="17" t="s">
        <v>110</v>
      </c>
    </row>
    <row r="11" spans="1:2" x14ac:dyDescent="0.25">
      <c r="A11" s="16" t="s">
        <v>111</v>
      </c>
      <c r="B11" s="17" t="s">
        <v>112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Samples (2-min)</vt:lpstr>
      <vt:lpstr>Method &amp;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perf-soak.js</dc:creator>
  <dc:title/>
  <dc:subject/>
  <dc:description/>
  <cp:keywords/>
  <cp:category/>
  <cp:lastModifiedBy>Unknown</cp:lastModifiedBy>
  <dcterms:created xsi:type="dcterms:W3CDTF">2026-09-27T07:22:52Z</dcterms:created>
  <dcterms:modified xsi:type="dcterms:W3CDTF">2026-09-27T07:22:52Z</dcterms:modified>
</cp:coreProperties>
</file>