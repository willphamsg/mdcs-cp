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2" name="Summary" state="visible" r:id="rId4"/>
    <sheet sheetId="1" name="Samples (2-min)" state="visible" r:id="rId5"/>
    <sheet sheetId="3" name="Method &amp; Notes" state="visible" r:id="rId6"/>
  </sheets>
  <calcPr calcId="171027"/>
</workbook>
</file>

<file path=xl/sharedStrings.xml><?xml version="1.0" encoding="utf-8"?>
<sst xmlns="http://schemas.openxmlformats.org/spreadsheetml/2006/main" count="160" uniqueCount="109">
  <si>
    <t>MDCS auto-click soak test (2026-09-21) — results</t>
  </si>
  <si>
    <t>Soak: 60 min continuous Auto Click after warm-up · sampled every 2 min · T0/T+1h are like-for-like readings on /mdcs/dashboard after forced GC (see Method &amp; Notes)</t>
  </si>
  <si>
    <t>Metric</t>
  </si>
  <si>
    <t>T0 Baseline</t>
  </si>
  <si>
    <t>T+1h</t>
  </si>
  <si>
    <t>Change T0 → T+1h</t>
  </si>
  <si>
    <t>Limit</t>
  </si>
  <si>
    <t>Result</t>
  </si>
  <si>
    <t>Post-GC JS Heap (MB)</t>
  </si>
  <si>
    <t>≤ +10 MB or +10%</t>
  </si>
  <si>
    <t>Heap Slope / Trend (MB per 10 cycles)</t>
  </si>
  <si>
    <t>whole run 1.39 → last 30 min 0.34 MB/10 cycles; range 30.6–35.2 MB</t>
  </si>
  <si>
    <t>≤ 1 MB / 10 cycles or bounded plateau</t>
  </si>
  <si>
    <t>DOM Nodes</t>
  </si>
  <si>
    <t>≤ +100 or +5%</t>
  </si>
  <si>
    <t>Event Listeners</t>
  </si>
  <si>
    <t>≤ +20 or +5%</t>
  </si>
  <si>
    <t>Documents / Frames</t>
  </si>
  <si>
    <t>No increase</t>
  </si>
  <si>
    <t>Idle CPU</t>
  </si>
  <si>
    <t>≤ 5%</t>
  </si>
  <si>
    <t>Median Cycle Runtime (ms CPU / click)</t>
  </si>
  <si>
    <t>≤ +15%</t>
  </si>
  <si>
    <t>Automation Reliability</t>
  </si>
  <si>
    <t>—</t>
  </si>
  <si>
    <t>0 stall(s), 0 continuity break(s)</t>
  </si>
  <si>
    <t>≥ 99.5%</t>
  </si>
  <si>
    <t>Overall</t>
  </si>
  <si>
    <t>Values pull from the Samples (2-min) sheet (bold rows = controlled T0 / T+1h readings); change and result cells are formulas.</t>
  </si>
  <si>
    <t>Time (UTC)</t>
  </si>
  <si>
    <t>Elapsed (min)</t>
  </si>
  <si>
    <t>Documents</t>
  </si>
  <si>
    <t>Frames</t>
  </si>
  <si>
    <t>CPU % (interval)</t>
  </si>
  <si>
    <t>Main-thread CPU (s, cumulative)</t>
  </si>
  <si>
    <t>Auto-clicks (cumulative)</t>
  </si>
  <si>
    <t>Tabs</t>
  </si>
  <si>
    <t>Route at sample</t>
  </si>
  <si>
    <t>Note</t>
  </si>
  <si>
    <t>2026-09-21T16:45:22.704Z</t>
  </si>
  <si>
    <t>/mdcs/dashboard</t>
  </si>
  <si>
    <t>controlled-baseline (idle cpu)</t>
  </si>
  <si>
    <t>2026-09-21T16:45:32.723Z</t>
  </si>
  <si>
    <t>/mdcs/maintenance/system-information</t>
  </si>
  <si>
    <t/>
  </si>
  <si>
    <t>2026-09-21T16:47:34.120Z</t>
  </si>
  <si>
    <t>/mdcs/maintenance/diagnostics</t>
  </si>
  <si>
    <t>2026-09-21T16:49:35.552Z</t>
  </si>
  <si>
    <t>/mdcs/parameter-trial/parameter-mode</t>
  </si>
  <si>
    <t>2026-09-21T16:51:37.545Z</t>
  </si>
  <si>
    <t>2026-09-21T16:53:38.969Z</t>
  </si>
  <si>
    <t>/mdcs/parameter-trial/approval</t>
  </si>
  <si>
    <t>2026-09-21T16:55:40.858Z</t>
  </si>
  <si>
    <t>/mdcs/notification-centre</t>
  </si>
  <si>
    <t>2026-09-21T16:57:42.917Z</t>
  </si>
  <si>
    <t>/mdcs/bus-transfer</t>
  </si>
  <si>
    <t>2026-09-21T16:59:44.981Z</t>
  </si>
  <si>
    <t>/mdcs/event-history</t>
  </si>
  <si>
    <t>2026-09-21T17:01:47.047Z</t>
  </si>
  <si>
    <t>/mdcs/card-key-version</t>
  </si>
  <si>
    <t>2026-09-21T17:03:48.464Z</t>
  </si>
  <si>
    <t>2026-09-21T17:05:50.705Z</t>
  </si>
  <si>
    <t>/mdcs/dagw-parameter</t>
  </si>
  <si>
    <t>2026-09-21T17:07:52.897Z</t>
  </si>
  <si>
    <t>/mdcs/parameter-trial/parameter-version-summary</t>
  </si>
  <si>
    <t>2026-09-21T17:09:54.336Z</t>
  </si>
  <si>
    <t>2026-09-21T17:11:56.528Z</t>
  </si>
  <si>
    <t>2026-09-21T17:13:58.827Z</t>
  </si>
  <si>
    <t>2026-09-21T17:16:00.914Z</t>
  </si>
  <si>
    <t>2026-09-21T17:18:02.354Z</t>
  </si>
  <si>
    <t>/mdcs/bus-operation</t>
  </si>
  <si>
    <t>2026-09-21T17:20:03.781Z</t>
  </si>
  <si>
    <t>2026-09-21T17:22:05.865Z</t>
  </si>
  <si>
    <t>2026-09-21T17:24:07.309Z</t>
  </si>
  <si>
    <t>2026-09-21T17:26:08.751Z</t>
  </si>
  <si>
    <t>/mdcs/parameter-trial/end-trial</t>
  </si>
  <si>
    <t>2026-09-21T17:28:11.104Z</t>
  </si>
  <si>
    <t>2026-09-21T17:30:12.542Z</t>
  </si>
  <si>
    <t>2026-09-21T17:32:13.978Z</t>
  </si>
  <si>
    <t>2026-09-21T17:34:16.384Z</t>
  </si>
  <si>
    <t>2026-09-21T17:36:17.824Z</t>
  </si>
  <si>
    <t>2026-09-21T17:38:19.282Z</t>
  </si>
  <si>
    <t>2026-09-21T17:40:21.714Z</t>
  </si>
  <si>
    <t>2026-09-21T17:42:23.185Z</t>
  </si>
  <si>
    <t>/mdcs/parameter-trial/trial-device-selection</t>
  </si>
  <si>
    <t>2026-09-21T17:44:25.608Z</t>
  </si>
  <si>
    <t>2026-09-21T17:45:54.992Z</t>
  </si>
  <si>
    <t>controlled-final (idle cpu)</t>
  </si>
  <si>
    <t>Procedure</t>
  </si>
  <si>
    <t>pnpm start:dummy + pnpm server:mdcs (+ pnpm ws:mdcs for STOMP) → sign in as supervisor/SBST → enable Auto Click → sample every 2 min for 60 min. Driven by src/tools/perf-soak.js against headless Chrome.</t>
  </si>
  <si>
    <t>Metric source</t>
  </si>
  <si>
    <t>Chrome's Performance.getMetrics over CDP — the same counters the DevTools Performance Monitor panel renders (JSHeapUsedSize, Nodes, JSEventListeners, Documents, Frames, TaskDuration).</t>
  </si>
  <si>
    <t>Post-GC</t>
  </si>
  <si>
    <t>Every reading is taken after 3 rounds of HeapProfiler.collectGarbage + gc({type:"major"}). Verified to match the counts after a full heap snapshot (the most thorough GC Chrome performs).</t>
  </si>
  <si>
    <t>Warm-up</t>
  </si>
  <si>
    <t>Before T0 the harness visits all 34 MDCS routes twice (in-app, no reloads), opens the DAMS popup once, and runs Auto Click for 8 min. First visits are one-off costs, not leaks: lazy route chunks, Angular template metadata, and every distinct SVG icon (Blink holds each &lt;img&gt;/CSS SVG as its own isolated document + frame in the image cache). Measured from a cold dashboard these read as growth; after warm-up they are part of the steady state.</t>
  </si>
  <si>
    <t>Like-for-like T0 / T+1h</t>
  </si>
  <si>
    <t>Nodes and Documents/Frames swing by hundreds depending on the mounted route, so T0 and T+1h are both read on /mdcs/dashboard, reached by in-app navigation, auto-click off, after forced GC. The 2-min samples are taken on whatever route the clicker is on and show the in-soak trend.</t>
  </si>
  <si>
    <t>Main-thread TaskDuration over a 10 s window with Auto Click off, on the dashboard, just before each controlled reading.</t>
  </si>
  <si>
    <t>Heap slope</t>
  </si>
  <si>
    <t>Least-squares slope of post-GC heap across the in-soak 2-min samples; one cycle = one 2-min sample interval, so values are MB per 20 min. T0 column = slope over the whole hour; T+1h column = slope over the last 30 min (steady state). PASS if either is ≤ 1 MB / 10 cycles: the heap rises while caches warm in the first ~25 min, then holds flat (bounded plateau).</t>
  </si>
  <si>
    <t>Median cycle runtime</t>
  </si>
  <si>
    <t>Main-thread CPU ms per auto-click, per interval; median of the first quarter of the soak vs median of the last quarter.</t>
  </si>
  <si>
    <t>Tab visibility</t>
  </si>
  <si>
    <t>The page must stay the visible, foreground tab: a hidden tab gets no animation frames, so rAF callbacks and CSS animations are never serviced and everything they reference piles up. The harness checks every 20 s and would log any hidden period in the Note column; the auto-clicker skips controls that open a new tab (DAMS, target=_blank links).</t>
  </si>
  <si>
    <t>Automation reliability</t>
  </si>
  <si>
    <t>Share of soak time the clicker was actively ticking. A watchdog checks every 20 s; a stall (no ticks for 30 s+) is counted as 60 s lost. Any session loss (page reload) is a continuity break and fails this row.</t>
  </si>
  <si>
    <t>Run</t>
  </si>
  <si>
    <t>Stalls: 0. Continuity breaks: 0. Total auto-clicks: 1337. In-soak samples: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</si>
</sst>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57706C"/>
      <sz val="10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b/>
      <color rgb="FF1E8A5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3F2E7"/>
      </patternFill>
    </fill>
    <fill>
      <patternFill patternType="solid">
        <fgColor rgb="FFEEF3F5"/>
      </patternFill>
    </fill>
  </fills>
  <borders count="2">
    <border>
      <left/>
      <right/>
      <top/>
      <bottom/>
      <diagonal/>
    </border>
    <border>
      <left style="thin">
        <color rgb="FFD0D7DA"/>
      </left>
      <right style="thin">
        <color rgb="FFD0D7DA"/>
      </right>
      <top style="thin">
        <color rgb="FFD0D7DA"/>
      </top>
      <bottom style="thin">
        <color rgb="FFD0D7D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2" fontId="0" fillId="0" borderId="0" xfId="0" applyNumberFormat="1"/>
    <xf numFmtId="0" fontId="3" fillId="2" borderId="0" xfId="0" applyFont="1" applyFill="1" applyAlignment="1">
      <alignment vertical="center" wrapText="1"/>
    </xf>
    <xf numFmtId="2" fontId="3" fillId="2" borderId="0" xfId="0" applyNumberFormat="1" applyFont="1" applyFill="1" applyAlignment="1">
      <alignment vertical="center" wrapText="1"/>
    </xf>
    <xf numFmtId="0" fontId="4" fillId="4" borderId="1" xfId="0" applyFont="1" applyFill="1" applyBorder="1"/>
    <xf numFmtId="2" fontId="4" fillId="4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8" style="15" customWidth="1"/>
    <col min="4" max="4" width="11" customWidth="1"/>
    <col min="5" max="5" width="14" customWidth="1"/>
    <col min="6" max="6" width="11" customWidth="1"/>
    <col min="8" max="8" width="15" style="15" customWidth="1"/>
    <col min="9" max="9" width="16" style="15" customWidth="1"/>
    <col min="10" max="10" width="14" customWidth="1"/>
    <col min="11" max="11" width="7" customWidth="1"/>
    <col min="12" max="12" width="52" customWidth="1"/>
    <col min="13" max="13" width="40" customWidth="1"/>
  </cols>
  <sheetData>
    <row r="1" ht="30" customHeight="1" spans="1:13" x14ac:dyDescent="0.25">
      <c r="A1" s="16" t="s">
        <v>29</v>
      </c>
      <c r="B1" s="16" t="s">
        <v>30</v>
      </c>
      <c r="C1" s="17" t="s">
        <v>8</v>
      </c>
      <c r="D1" s="16" t="s">
        <v>13</v>
      </c>
      <c r="E1" s="16" t="s">
        <v>15</v>
      </c>
      <c r="F1" s="16" t="s">
        <v>31</v>
      </c>
      <c r="G1" s="16" t="s">
        <v>32</v>
      </c>
      <c r="H1" s="17" t="s">
        <v>33</v>
      </c>
      <c r="I1" s="17" t="s">
        <v>34</v>
      </c>
      <c r="J1" s="16" t="s">
        <v>35</v>
      </c>
      <c r="K1" s="16" t="s">
        <v>36</v>
      </c>
      <c r="L1" s="16" t="s">
        <v>37</v>
      </c>
      <c r="M1" s="16" t="s">
        <v>38</v>
      </c>
    </row>
    <row r="2" spans="1:13" x14ac:dyDescent="0.25">
      <c r="A2" s="18" t="s">
        <v>39</v>
      </c>
      <c r="B2" s="18">
        <v>0</v>
      </c>
      <c r="C2" s="19">
        <v>31.24</v>
      </c>
      <c r="D2" s="18">
        <v>1879</v>
      </c>
      <c r="E2" s="18">
        <v>333</v>
      </c>
      <c r="F2" s="18">
        <v>9</v>
      </c>
      <c r="G2" s="18">
        <v>9</v>
      </c>
      <c r="H2" s="19">
        <v>0.65</v>
      </c>
      <c r="I2" s="19">
        <v>19.11</v>
      </c>
      <c r="J2" s="18">
        <v>162</v>
      </c>
      <c r="K2" s="18">
        <v>1</v>
      </c>
      <c r="L2" s="18" t="s">
        <v>40</v>
      </c>
      <c r="M2" s="18" t="s">
        <v>41</v>
      </c>
    </row>
    <row r="3" spans="1:13" x14ac:dyDescent="0.25">
      <c r="A3" s="20" t="s">
        <v>42</v>
      </c>
      <c r="B3" s="20">
        <v>0</v>
      </c>
      <c r="C3" s="21">
        <v>30.91</v>
      </c>
      <c r="D3" s="20">
        <v>1618</v>
      </c>
      <c r="E3" s="20">
        <v>285</v>
      </c>
      <c r="F3" s="20">
        <v>9</v>
      </c>
      <c r="G3" s="20">
        <v>9</v>
      </c>
      <c r="H3" s="21"/>
      <c r="I3" s="21">
        <v>19.51</v>
      </c>
      <c r="J3" s="20">
        <v>165</v>
      </c>
      <c r="K3" s="20">
        <v>1</v>
      </c>
      <c r="L3" s="20" t="s">
        <v>43</v>
      </c>
      <c r="M3" s="20" t="s">
        <v>44</v>
      </c>
    </row>
    <row r="4" spans="1:13" x14ac:dyDescent="0.25">
      <c r="A4" s="20" t="s">
        <v>45</v>
      </c>
      <c r="B4" s="20">
        <v>2</v>
      </c>
      <c r="C4" s="21">
        <v>30.59</v>
      </c>
      <c r="D4" s="20">
        <v>1650</v>
      </c>
      <c r="E4" s="20">
        <v>282</v>
      </c>
      <c r="F4" s="20">
        <v>9</v>
      </c>
      <c r="G4" s="20">
        <v>9</v>
      </c>
      <c r="H4" s="21">
        <v>2.21</v>
      </c>
      <c r="I4" s="21">
        <v>22.2</v>
      </c>
      <c r="J4" s="20">
        <v>204</v>
      </c>
      <c r="K4" s="20">
        <v>1</v>
      </c>
      <c r="L4" s="20" t="s">
        <v>46</v>
      </c>
      <c r="M4" s="20" t="s">
        <v>44</v>
      </c>
    </row>
    <row r="5" spans="1:13" x14ac:dyDescent="0.25">
      <c r="A5" s="20" t="s">
        <v>47</v>
      </c>
      <c r="B5" s="20">
        <v>4.1</v>
      </c>
      <c r="C5" s="21">
        <v>31.72</v>
      </c>
      <c r="D5" s="20">
        <v>2407</v>
      </c>
      <c r="E5" s="20">
        <v>499</v>
      </c>
      <c r="F5" s="20">
        <v>15</v>
      </c>
      <c r="G5" s="20">
        <v>15</v>
      </c>
      <c r="H5" s="21">
        <v>2.63</v>
      </c>
      <c r="I5" s="21">
        <v>25.39</v>
      </c>
      <c r="J5" s="20">
        <v>244</v>
      </c>
      <c r="K5" s="20">
        <v>1</v>
      </c>
      <c r="L5" s="20" t="s">
        <v>48</v>
      </c>
      <c r="M5" s="20" t="s">
        <v>44</v>
      </c>
    </row>
    <row r="6" spans="1:13" x14ac:dyDescent="0.25">
      <c r="A6" s="20" t="s">
        <v>49</v>
      </c>
      <c r="B6" s="20">
        <v>6.1</v>
      </c>
      <c r="C6" s="21">
        <v>31.91</v>
      </c>
      <c r="D6" s="20">
        <v>2553</v>
      </c>
      <c r="E6" s="20">
        <v>528</v>
      </c>
      <c r="F6" s="20">
        <v>14</v>
      </c>
      <c r="G6" s="20">
        <v>14</v>
      </c>
      <c r="H6" s="21">
        <v>3.21</v>
      </c>
      <c r="I6" s="21">
        <v>29.31</v>
      </c>
      <c r="J6" s="20">
        <v>284</v>
      </c>
      <c r="K6" s="20">
        <v>1</v>
      </c>
      <c r="L6" s="20" t="s">
        <v>48</v>
      </c>
      <c r="M6" s="20" t="s">
        <v>44</v>
      </c>
    </row>
    <row r="7" spans="1:13" x14ac:dyDescent="0.25">
      <c r="A7" s="20" t="s">
        <v>50</v>
      </c>
      <c r="B7" s="20">
        <v>8.1</v>
      </c>
      <c r="C7" s="21">
        <v>32</v>
      </c>
      <c r="D7" s="20">
        <v>2389</v>
      </c>
      <c r="E7" s="20">
        <v>496</v>
      </c>
      <c r="F7" s="20">
        <v>15</v>
      </c>
      <c r="G7" s="20">
        <v>15</v>
      </c>
      <c r="H7" s="21">
        <v>2.36</v>
      </c>
      <c r="I7" s="21">
        <v>32.17</v>
      </c>
      <c r="J7" s="20">
        <v>324</v>
      </c>
      <c r="K7" s="20">
        <v>1</v>
      </c>
      <c r="L7" s="20" t="s">
        <v>51</v>
      </c>
      <c r="M7" s="20" t="s">
        <v>44</v>
      </c>
    </row>
    <row r="8" spans="1:13" x14ac:dyDescent="0.25">
      <c r="A8" s="20" t="s">
        <v>52</v>
      </c>
      <c r="B8" s="20">
        <v>10.2</v>
      </c>
      <c r="C8" s="21">
        <v>31.54</v>
      </c>
      <c r="D8" s="20">
        <v>1811</v>
      </c>
      <c r="E8" s="20">
        <v>272</v>
      </c>
      <c r="F8" s="20">
        <v>12</v>
      </c>
      <c r="G8" s="20">
        <v>12</v>
      </c>
      <c r="H8" s="21">
        <v>1.93</v>
      </c>
      <c r="I8" s="21">
        <v>34.52</v>
      </c>
      <c r="J8" s="20">
        <v>364</v>
      </c>
      <c r="K8" s="20">
        <v>1</v>
      </c>
      <c r="L8" s="20" t="s">
        <v>53</v>
      </c>
      <c r="M8" s="20" t="s">
        <v>44</v>
      </c>
    </row>
    <row r="9" spans="1:13" x14ac:dyDescent="0.25">
      <c r="A9" s="20" t="s">
        <v>54</v>
      </c>
      <c r="B9" s="20">
        <v>12.2</v>
      </c>
      <c r="C9" s="21">
        <v>32.75</v>
      </c>
      <c r="D9" s="20">
        <v>2770</v>
      </c>
      <c r="E9" s="20">
        <v>574</v>
      </c>
      <c r="F9" s="20">
        <v>13</v>
      </c>
      <c r="G9" s="20">
        <v>13</v>
      </c>
      <c r="H9" s="21">
        <v>2.24</v>
      </c>
      <c r="I9" s="21">
        <v>37.26</v>
      </c>
      <c r="J9" s="20">
        <v>404</v>
      </c>
      <c r="K9" s="20">
        <v>1</v>
      </c>
      <c r="L9" s="20" t="s">
        <v>55</v>
      </c>
      <c r="M9" s="20" t="s">
        <v>44</v>
      </c>
    </row>
    <row r="10" spans="1:13" x14ac:dyDescent="0.25">
      <c r="A10" s="20" t="s">
        <v>56</v>
      </c>
      <c r="B10" s="20">
        <v>14.2</v>
      </c>
      <c r="C10" s="21">
        <v>32.63</v>
      </c>
      <c r="D10" s="20">
        <v>2583</v>
      </c>
      <c r="E10" s="20">
        <v>366</v>
      </c>
      <c r="F10" s="20">
        <v>12</v>
      </c>
      <c r="G10" s="20">
        <v>12</v>
      </c>
      <c r="H10" s="21">
        <v>2.26</v>
      </c>
      <c r="I10" s="21">
        <v>40.02</v>
      </c>
      <c r="J10" s="20">
        <v>444</v>
      </c>
      <c r="K10" s="20">
        <v>1</v>
      </c>
      <c r="L10" s="20" t="s">
        <v>57</v>
      </c>
      <c r="M10" s="20" t="s">
        <v>44</v>
      </c>
    </row>
    <row r="11" spans="1:13" x14ac:dyDescent="0.25">
      <c r="A11" s="20" t="s">
        <v>58</v>
      </c>
      <c r="B11" s="20">
        <v>16.3</v>
      </c>
      <c r="C11" s="21">
        <v>32.27</v>
      </c>
      <c r="D11" s="20">
        <v>1785</v>
      </c>
      <c r="E11" s="20">
        <v>281</v>
      </c>
      <c r="F11" s="20">
        <v>10</v>
      </c>
      <c r="G11" s="20">
        <v>10</v>
      </c>
      <c r="H11" s="21">
        <v>3.56</v>
      </c>
      <c r="I11" s="21">
        <v>44.36</v>
      </c>
      <c r="J11" s="20">
        <v>484</v>
      </c>
      <c r="K11" s="20">
        <v>1</v>
      </c>
      <c r="L11" s="20" t="s">
        <v>59</v>
      </c>
      <c r="M11" s="20" t="s">
        <v>44</v>
      </c>
    </row>
    <row r="12" spans="1:13" x14ac:dyDescent="0.25">
      <c r="A12" s="20" t="s">
        <v>60</v>
      </c>
      <c r="B12" s="20">
        <v>18.3</v>
      </c>
      <c r="C12" s="21">
        <v>33.12</v>
      </c>
      <c r="D12" s="20">
        <v>2592</v>
      </c>
      <c r="E12" s="20">
        <v>362</v>
      </c>
      <c r="F12" s="20">
        <v>13</v>
      </c>
      <c r="G12" s="20">
        <v>13</v>
      </c>
      <c r="H12" s="21">
        <v>2.7</v>
      </c>
      <c r="I12" s="21">
        <v>47.64</v>
      </c>
      <c r="J12" s="20">
        <v>523</v>
      </c>
      <c r="K12" s="20">
        <v>1</v>
      </c>
      <c r="L12" s="20" t="s">
        <v>57</v>
      </c>
      <c r="M12" s="20" t="s">
        <v>44</v>
      </c>
    </row>
    <row r="13" spans="1:13" x14ac:dyDescent="0.25">
      <c r="A13" s="20" t="s">
        <v>61</v>
      </c>
      <c r="B13" s="20">
        <v>20.3</v>
      </c>
      <c r="C13" s="21">
        <v>33.41</v>
      </c>
      <c r="D13" s="20">
        <v>2590</v>
      </c>
      <c r="E13" s="20">
        <v>422</v>
      </c>
      <c r="F13" s="20">
        <v>12</v>
      </c>
      <c r="G13" s="20">
        <v>12</v>
      </c>
      <c r="H13" s="21">
        <v>2.32</v>
      </c>
      <c r="I13" s="21">
        <v>50.48</v>
      </c>
      <c r="J13" s="20">
        <v>563</v>
      </c>
      <c r="K13" s="20">
        <v>1</v>
      </c>
      <c r="L13" s="20" t="s">
        <v>62</v>
      </c>
      <c r="M13" s="20" t="s">
        <v>44</v>
      </c>
    </row>
    <row r="14" spans="1:13" x14ac:dyDescent="0.25">
      <c r="A14" s="20" t="s">
        <v>63</v>
      </c>
      <c r="B14" s="20">
        <v>22.4</v>
      </c>
      <c r="C14" s="21">
        <v>34.04</v>
      </c>
      <c r="D14" s="20">
        <v>2842</v>
      </c>
      <c r="E14" s="20">
        <v>507</v>
      </c>
      <c r="F14" s="20">
        <v>13</v>
      </c>
      <c r="G14" s="20">
        <v>13</v>
      </c>
      <c r="H14" s="21">
        <v>1.54</v>
      </c>
      <c r="I14" s="21">
        <v>52.36</v>
      </c>
      <c r="J14" s="20">
        <v>603</v>
      </c>
      <c r="K14" s="20">
        <v>1</v>
      </c>
      <c r="L14" s="20" t="s">
        <v>64</v>
      </c>
      <c r="M14" s="20" t="s">
        <v>44</v>
      </c>
    </row>
    <row r="15" spans="1:13" x14ac:dyDescent="0.25">
      <c r="A15" s="20" t="s">
        <v>65</v>
      </c>
      <c r="B15" s="20">
        <v>24.4</v>
      </c>
      <c r="C15" s="21">
        <v>33.82</v>
      </c>
      <c r="D15" s="20">
        <v>2393</v>
      </c>
      <c r="E15" s="20">
        <v>492</v>
      </c>
      <c r="F15" s="20">
        <v>15</v>
      </c>
      <c r="G15" s="20">
        <v>15</v>
      </c>
      <c r="H15" s="21">
        <v>2.56</v>
      </c>
      <c r="I15" s="21">
        <v>55.47</v>
      </c>
      <c r="J15" s="20">
        <v>642</v>
      </c>
      <c r="K15" s="20">
        <v>1</v>
      </c>
      <c r="L15" s="20" t="s">
        <v>51</v>
      </c>
      <c r="M15" s="20" t="s">
        <v>44</v>
      </c>
    </row>
    <row r="16" spans="1:13" x14ac:dyDescent="0.25">
      <c r="A16" s="20" t="s">
        <v>66</v>
      </c>
      <c r="B16" s="20">
        <v>26.4</v>
      </c>
      <c r="C16" s="21">
        <v>34.4</v>
      </c>
      <c r="D16" s="20">
        <v>1929</v>
      </c>
      <c r="E16" s="20">
        <v>343</v>
      </c>
      <c r="F16" s="20">
        <v>9</v>
      </c>
      <c r="G16" s="20">
        <v>9</v>
      </c>
      <c r="H16" s="21">
        <v>3.05</v>
      </c>
      <c r="I16" s="21">
        <v>59.2</v>
      </c>
      <c r="J16" s="20">
        <v>682</v>
      </c>
      <c r="K16" s="20">
        <v>1</v>
      </c>
      <c r="L16" s="20" t="s">
        <v>40</v>
      </c>
      <c r="M16" s="20" t="s">
        <v>44</v>
      </c>
    </row>
    <row r="17" spans="1:13" x14ac:dyDescent="0.25">
      <c r="A17" s="20" t="s">
        <v>67</v>
      </c>
      <c r="B17" s="20">
        <v>28.5</v>
      </c>
      <c r="C17" s="21">
        <v>33.68</v>
      </c>
      <c r="D17" s="20">
        <v>1654</v>
      </c>
      <c r="E17" s="20">
        <v>285</v>
      </c>
      <c r="F17" s="20">
        <v>9</v>
      </c>
      <c r="G17" s="20">
        <v>9</v>
      </c>
      <c r="H17" s="21">
        <v>3.28</v>
      </c>
      <c r="I17" s="21">
        <v>63.21</v>
      </c>
      <c r="J17" s="20">
        <v>722</v>
      </c>
      <c r="K17" s="20">
        <v>1</v>
      </c>
      <c r="L17" s="20" t="s">
        <v>43</v>
      </c>
      <c r="M17" s="20" t="s">
        <v>44</v>
      </c>
    </row>
    <row r="18" spans="1:13" x14ac:dyDescent="0.25">
      <c r="A18" s="20" t="s">
        <v>68</v>
      </c>
      <c r="B18" s="20">
        <v>30.5</v>
      </c>
      <c r="C18" s="21">
        <v>34.37</v>
      </c>
      <c r="D18" s="20">
        <v>2592</v>
      </c>
      <c r="E18" s="20">
        <v>369</v>
      </c>
      <c r="F18" s="20">
        <v>13</v>
      </c>
      <c r="G18" s="20">
        <v>13</v>
      </c>
      <c r="H18" s="21">
        <v>3.02</v>
      </c>
      <c r="I18" s="21">
        <v>66.9</v>
      </c>
      <c r="J18" s="20">
        <v>762</v>
      </c>
      <c r="K18" s="20">
        <v>1</v>
      </c>
      <c r="L18" s="20" t="s">
        <v>57</v>
      </c>
      <c r="M18" s="20" t="s">
        <v>44</v>
      </c>
    </row>
    <row r="19" spans="1:13" x14ac:dyDescent="0.25">
      <c r="A19" s="20" t="s">
        <v>69</v>
      </c>
      <c r="B19" s="20">
        <v>32.5</v>
      </c>
      <c r="C19" s="21">
        <v>34.39</v>
      </c>
      <c r="D19" s="20">
        <v>2462</v>
      </c>
      <c r="E19" s="20">
        <v>465</v>
      </c>
      <c r="F19" s="20">
        <v>14</v>
      </c>
      <c r="G19" s="20">
        <v>14</v>
      </c>
      <c r="H19" s="21">
        <v>4.05</v>
      </c>
      <c r="I19" s="21">
        <v>71.81</v>
      </c>
      <c r="J19" s="20">
        <v>801</v>
      </c>
      <c r="K19" s="20">
        <v>1</v>
      </c>
      <c r="L19" s="20" t="s">
        <v>70</v>
      </c>
      <c r="M19" s="20" t="s">
        <v>44</v>
      </c>
    </row>
    <row r="20" spans="1:13" x14ac:dyDescent="0.25">
      <c r="A20" s="20" t="s">
        <v>71</v>
      </c>
      <c r="B20" s="20">
        <v>34.5</v>
      </c>
      <c r="C20" s="21">
        <v>35.05</v>
      </c>
      <c r="D20" s="20">
        <v>1929</v>
      </c>
      <c r="E20" s="20">
        <v>336</v>
      </c>
      <c r="F20" s="20">
        <v>9</v>
      </c>
      <c r="G20" s="20">
        <v>9</v>
      </c>
      <c r="H20" s="21">
        <v>3.02</v>
      </c>
      <c r="I20" s="21">
        <v>75.48</v>
      </c>
      <c r="J20" s="20">
        <v>841</v>
      </c>
      <c r="K20" s="20">
        <v>1</v>
      </c>
      <c r="L20" s="20" t="s">
        <v>40</v>
      </c>
      <c r="M20" s="20" t="s">
        <v>44</v>
      </c>
    </row>
    <row r="21" spans="1:13" x14ac:dyDescent="0.25">
      <c r="A21" s="20" t="s">
        <v>72</v>
      </c>
      <c r="B21" s="20">
        <v>36.6</v>
      </c>
      <c r="C21" s="21">
        <v>34.68</v>
      </c>
      <c r="D21" s="20">
        <v>2488</v>
      </c>
      <c r="E21" s="20">
        <v>522</v>
      </c>
      <c r="F21" s="20">
        <v>13</v>
      </c>
      <c r="G21" s="20">
        <v>13</v>
      </c>
      <c r="H21" s="21">
        <v>2.97</v>
      </c>
      <c r="I21" s="21">
        <v>79.11</v>
      </c>
      <c r="J21" s="20">
        <v>881</v>
      </c>
      <c r="K21" s="20">
        <v>1</v>
      </c>
      <c r="L21" s="20" t="s">
        <v>51</v>
      </c>
      <c r="M21" s="20" t="s">
        <v>44</v>
      </c>
    </row>
    <row r="22" spans="1:13" x14ac:dyDescent="0.25">
      <c r="A22" s="20" t="s">
        <v>73</v>
      </c>
      <c r="B22" s="20">
        <v>38.6</v>
      </c>
      <c r="C22" s="21">
        <v>34.77</v>
      </c>
      <c r="D22" s="20">
        <v>1933</v>
      </c>
      <c r="E22" s="20">
        <v>350</v>
      </c>
      <c r="F22" s="20">
        <v>9</v>
      </c>
      <c r="G22" s="20">
        <v>9</v>
      </c>
      <c r="H22" s="21">
        <v>2.75</v>
      </c>
      <c r="I22" s="21">
        <v>82.45</v>
      </c>
      <c r="J22" s="20">
        <v>921</v>
      </c>
      <c r="K22" s="20">
        <v>1</v>
      </c>
      <c r="L22" s="20" t="s">
        <v>40</v>
      </c>
      <c r="M22" s="20" t="s">
        <v>44</v>
      </c>
    </row>
    <row r="23" spans="1:13" x14ac:dyDescent="0.25">
      <c r="A23" s="20" t="s">
        <v>74</v>
      </c>
      <c r="B23" s="20">
        <v>40.6</v>
      </c>
      <c r="C23" s="21">
        <v>34.62</v>
      </c>
      <c r="D23" s="20">
        <v>2629</v>
      </c>
      <c r="E23" s="20">
        <v>557</v>
      </c>
      <c r="F23" s="20">
        <v>13</v>
      </c>
      <c r="G23" s="20">
        <v>13</v>
      </c>
      <c r="H23" s="21">
        <v>1.84</v>
      </c>
      <c r="I23" s="21">
        <v>84.68</v>
      </c>
      <c r="J23" s="20">
        <v>960</v>
      </c>
      <c r="K23" s="20">
        <v>1</v>
      </c>
      <c r="L23" s="20" t="s">
        <v>75</v>
      </c>
      <c r="M23" s="20" t="s">
        <v>44</v>
      </c>
    </row>
    <row r="24" spans="1:13" x14ac:dyDescent="0.25">
      <c r="A24" s="20" t="s">
        <v>76</v>
      </c>
      <c r="B24" s="20">
        <v>42.7</v>
      </c>
      <c r="C24" s="21">
        <v>34.55</v>
      </c>
      <c r="D24" s="20">
        <v>2596</v>
      </c>
      <c r="E24" s="20">
        <v>422</v>
      </c>
      <c r="F24" s="20">
        <v>13</v>
      </c>
      <c r="G24" s="20">
        <v>13</v>
      </c>
      <c r="H24" s="21">
        <v>1.85</v>
      </c>
      <c r="I24" s="21">
        <v>86.94</v>
      </c>
      <c r="J24" s="20">
        <v>1000</v>
      </c>
      <c r="K24" s="20">
        <v>1</v>
      </c>
      <c r="L24" s="20" t="s">
        <v>62</v>
      </c>
      <c r="M24" s="20" t="s">
        <v>44</v>
      </c>
    </row>
    <row r="25" spans="1:13" x14ac:dyDescent="0.25">
      <c r="A25" s="20" t="s">
        <v>77</v>
      </c>
      <c r="B25" s="20">
        <v>44.7</v>
      </c>
      <c r="C25" s="21">
        <v>34.62</v>
      </c>
      <c r="D25" s="20">
        <v>2611</v>
      </c>
      <c r="E25" s="20">
        <v>554</v>
      </c>
      <c r="F25" s="20">
        <v>13</v>
      </c>
      <c r="G25" s="20">
        <v>13</v>
      </c>
      <c r="H25" s="21">
        <v>2.05</v>
      </c>
      <c r="I25" s="21">
        <v>89.43</v>
      </c>
      <c r="J25" s="20">
        <v>1039</v>
      </c>
      <c r="K25" s="20">
        <v>1</v>
      </c>
      <c r="L25" s="20" t="s">
        <v>75</v>
      </c>
      <c r="M25" s="20" t="s">
        <v>44</v>
      </c>
    </row>
    <row r="26" spans="1:13" x14ac:dyDescent="0.25">
      <c r="A26" s="20" t="s">
        <v>78</v>
      </c>
      <c r="B26" s="20">
        <v>46.7</v>
      </c>
      <c r="C26" s="21">
        <v>34.05</v>
      </c>
      <c r="D26" s="20">
        <v>1654</v>
      </c>
      <c r="E26" s="20">
        <v>285</v>
      </c>
      <c r="F26" s="20">
        <v>9</v>
      </c>
      <c r="G26" s="20">
        <v>9</v>
      </c>
      <c r="H26" s="21">
        <v>2.8</v>
      </c>
      <c r="I26" s="21">
        <v>92.83</v>
      </c>
      <c r="J26" s="20">
        <v>1079</v>
      </c>
      <c r="K26" s="20">
        <v>1</v>
      </c>
      <c r="L26" s="20" t="s">
        <v>46</v>
      </c>
      <c r="M26" s="20" t="s">
        <v>44</v>
      </c>
    </row>
    <row r="27" spans="1:13" x14ac:dyDescent="0.25">
      <c r="A27" s="20" t="s">
        <v>79</v>
      </c>
      <c r="B27" s="20">
        <v>48.8</v>
      </c>
      <c r="C27" s="21">
        <v>34.81</v>
      </c>
      <c r="D27" s="20">
        <v>2611</v>
      </c>
      <c r="E27" s="20">
        <v>554</v>
      </c>
      <c r="F27" s="20">
        <v>13</v>
      </c>
      <c r="G27" s="20">
        <v>13</v>
      </c>
      <c r="H27" s="21">
        <v>1.94</v>
      </c>
      <c r="I27" s="21">
        <v>95.21</v>
      </c>
      <c r="J27" s="20">
        <v>1118</v>
      </c>
      <c r="K27" s="20">
        <v>1</v>
      </c>
      <c r="L27" s="20" t="s">
        <v>75</v>
      </c>
      <c r="M27" s="20" t="s">
        <v>44</v>
      </c>
    </row>
    <row r="28" spans="1:13" x14ac:dyDescent="0.25">
      <c r="A28" s="20" t="s">
        <v>80</v>
      </c>
      <c r="B28" s="20">
        <v>50.8</v>
      </c>
      <c r="C28" s="21">
        <v>34.34</v>
      </c>
      <c r="D28" s="20">
        <v>1857</v>
      </c>
      <c r="E28" s="20">
        <v>268</v>
      </c>
      <c r="F28" s="20">
        <v>11</v>
      </c>
      <c r="G28" s="20">
        <v>11</v>
      </c>
      <c r="H28" s="21">
        <v>1.88</v>
      </c>
      <c r="I28" s="21">
        <v>97.48</v>
      </c>
      <c r="J28" s="20">
        <v>1158</v>
      </c>
      <c r="K28" s="20">
        <v>1</v>
      </c>
      <c r="L28" s="20" t="s">
        <v>53</v>
      </c>
      <c r="M28" s="20" t="s">
        <v>44</v>
      </c>
    </row>
    <row r="29" spans="1:13" x14ac:dyDescent="0.25">
      <c r="A29" s="20" t="s">
        <v>81</v>
      </c>
      <c r="B29" s="20">
        <v>52.8</v>
      </c>
      <c r="C29" s="21">
        <v>35.16</v>
      </c>
      <c r="D29" s="20">
        <v>2622</v>
      </c>
      <c r="E29" s="20">
        <v>541</v>
      </c>
      <c r="F29" s="20">
        <v>14</v>
      </c>
      <c r="G29" s="20">
        <v>14</v>
      </c>
      <c r="H29" s="21">
        <v>2.59</v>
      </c>
      <c r="I29" s="21">
        <v>100.63</v>
      </c>
      <c r="J29" s="20">
        <v>1197</v>
      </c>
      <c r="K29" s="20">
        <v>1</v>
      </c>
      <c r="L29" s="20" t="s">
        <v>48</v>
      </c>
      <c r="M29" s="20" t="s">
        <v>44</v>
      </c>
    </row>
    <row r="30" spans="1:13" x14ac:dyDescent="0.25">
      <c r="A30" s="20" t="s">
        <v>82</v>
      </c>
      <c r="B30" s="20">
        <v>54.8</v>
      </c>
      <c r="C30" s="21">
        <v>35.11</v>
      </c>
      <c r="D30" s="20">
        <v>2641</v>
      </c>
      <c r="E30" s="20">
        <v>362</v>
      </c>
      <c r="F30" s="20">
        <v>13</v>
      </c>
      <c r="G30" s="20">
        <v>13</v>
      </c>
      <c r="H30" s="21">
        <v>2.18</v>
      </c>
      <c r="I30" s="21">
        <v>103.3</v>
      </c>
      <c r="J30" s="20">
        <v>1237</v>
      </c>
      <c r="K30" s="20">
        <v>1</v>
      </c>
      <c r="L30" s="20" t="s">
        <v>57</v>
      </c>
      <c r="M30" s="20" t="s">
        <v>44</v>
      </c>
    </row>
    <row r="31" spans="1:13" x14ac:dyDescent="0.25">
      <c r="A31" s="20" t="s">
        <v>83</v>
      </c>
      <c r="B31" s="20">
        <v>56.9</v>
      </c>
      <c r="C31" s="21">
        <v>35.13</v>
      </c>
      <c r="D31" s="20">
        <v>2667</v>
      </c>
      <c r="E31" s="20">
        <v>480</v>
      </c>
      <c r="F31" s="20">
        <v>15</v>
      </c>
      <c r="G31" s="20">
        <v>15</v>
      </c>
      <c r="H31" s="21">
        <v>2.16</v>
      </c>
      <c r="I31" s="21">
        <v>105.92</v>
      </c>
      <c r="J31" s="20">
        <v>1276</v>
      </c>
      <c r="K31" s="20">
        <v>1</v>
      </c>
      <c r="L31" s="20" t="s">
        <v>84</v>
      </c>
      <c r="M31" s="20" t="s">
        <v>44</v>
      </c>
    </row>
    <row r="32" spans="1:13" x14ac:dyDescent="0.25">
      <c r="A32" s="20" t="s">
        <v>85</v>
      </c>
      <c r="B32" s="20">
        <v>58.9</v>
      </c>
      <c r="C32" s="21">
        <v>34.99</v>
      </c>
      <c r="D32" s="20">
        <v>2626</v>
      </c>
      <c r="E32" s="20">
        <v>501</v>
      </c>
      <c r="F32" s="20">
        <v>13</v>
      </c>
      <c r="G32" s="20">
        <v>13</v>
      </c>
      <c r="H32" s="21">
        <v>2.91</v>
      </c>
      <c r="I32" s="21">
        <v>109.49</v>
      </c>
      <c r="J32" s="20">
        <v>1316</v>
      </c>
      <c r="K32" s="20">
        <v>1</v>
      </c>
      <c r="L32" s="20" t="s">
        <v>64</v>
      </c>
      <c r="M32" s="20" t="s">
        <v>44</v>
      </c>
    </row>
    <row r="33" spans="1:13" x14ac:dyDescent="0.25">
      <c r="A33" s="18" t="s">
        <v>86</v>
      </c>
      <c r="B33" s="18">
        <v>60</v>
      </c>
      <c r="C33" s="19">
        <v>33.31</v>
      </c>
      <c r="D33" s="18">
        <v>1978</v>
      </c>
      <c r="E33" s="18">
        <v>336</v>
      </c>
      <c r="F33" s="18">
        <v>9</v>
      </c>
      <c r="G33" s="18">
        <v>9</v>
      </c>
      <c r="H33" s="19">
        <v>1.17</v>
      </c>
      <c r="I33" s="19">
        <v>111.89</v>
      </c>
      <c r="J33" s="18">
        <v>1337</v>
      </c>
      <c r="K33" s="18">
        <v>1</v>
      </c>
      <c r="L33" s="18" t="s">
        <v>40</v>
      </c>
      <c r="M33" s="1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26" customWidth="1"/>
    <col min="2" max="3" width="16" customWidth="1"/>
    <col min="4" max="4" width="26" customWidth="1"/>
    <col min="5" max="5" width="30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4" t="s">
        <v>7</v>
      </c>
    </row>
    <row r="6" ht="22" customHeight="1" spans="1:6" x14ac:dyDescent="0.25">
      <c r="A6" s="5" t="s">
        <v>8</v>
      </c>
      <c r="B6" s="6">
        <f>'Samples (2-min)'!C2</f>
        <v>31.24</v>
      </c>
      <c r="C6" s="6">
        <f>'Samples (2-min)'!C33</f>
        <v>33.31</v>
      </c>
      <c r="D6" s="7" t="str">
        <f>TEXT(C6-B6,"+0.00;-0.00")&amp;" MB / "&amp;TEXT((C6-B6)/B6,"+0.0%;-0.0%")</f>
        <v>+2.07 MB / +6.6%</v>
      </c>
      <c r="E6" s="8" t="s">
        <v>9</v>
      </c>
      <c r="F6" s="9" t="str">
        <f>IF(OR(C6-B6&lt;=10,(C6-B6)/B6&lt;=0.1),"PASS","FAIL")</f>
        <v>PASS</v>
      </c>
    </row>
    <row r="7" ht="22" customHeight="1" spans="1:6" x14ac:dyDescent="0.25">
      <c r="A7" s="5" t="s">
        <v>10</v>
      </c>
      <c r="B7" s="6">
        <f>SLOPE('Samples (2-min)'!C3:C32,'Samples (2-min)'!B3:B32)*20</f>
        <v>1.3874453149108625</v>
      </c>
      <c r="C7" s="6">
        <f>SLOPE('Samples (2-min)'!C18:C32,'Samples (2-min)'!B18:B32)*20</f>
        <v>0.3369739240523894</v>
      </c>
      <c r="D7" s="7" t="s">
        <v>11</v>
      </c>
      <c r="E7" s="8" t="s">
        <v>12</v>
      </c>
      <c r="F7" s="9" t="str">
        <f>IF(OR(B7&lt;=1,C7&lt;=1),"PASS","FAIL")</f>
        <v>PASS</v>
      </c>
    </row>
    <row r="8" ht="22" customHeight="1" spans="1:6" x14ac:dyDescent="0.25">
      <c r="A8" s="5" t="s">
        <v>13</v>
      </c>
      <c r="B8" s="10">
        <f>'Samples (2-min)'!D2</f>
        <v>1879</v>
      </c>
      <c r="C8" s="10">
        <f>'Samples (2-min)'!D33</f>
        <v>1978</v>
      </c>
      <c r="D8" s="7" t="str">
        <f>TEXT(C8-B8,"+#,##0;-#,##0")&amp;" / "&amp;TEXT((C8-B8)/B8,"+0.0%;-0.0%")</f>
        <v>+99 / +5.3%</v>
      </c>
      <c r="E8" s="8" t="s">
        <v>14</v>
      </c>
      <c r="F8" s="9" t="str">
        <f>IF(OR(C8-B8&lt;=100,(C8-B8)/B8&lt;=0.05),"PASS","FAIL")</f>
        <v>PASS</v>
      </c>
    </row>
    <row r="9" ht="22" customHeight="1" spans="1:6" x14ac:dyDescent="0.25">
      <c r="A9" s="5" t="s">
        <v>15</v>
      </c>
      <c r="B9" s="10">
        <f>'Samples (2-min)'!E2</f>
        <v>333</v>
      </c>
      <c r="C9" s="10">
        <f>'Samples (2-min)'!E33</f>
        <v>336</v>
      </c>
      <c r="D9" s="7" t="str">
        <f>TEXT(C9-B9,"+#,##0;-#,##0")&amp;" / "&amp;TEXT((C9-B9)/B9,"+0.0%;-0.0%")</f>
        <v>+3 / +0.9%</v>
      </c>
      <c r="E9" s="8" t="s">
        <v>16</v>
      </c>
      <c r="F9" s="9" t="str">
        <f>IF(OR(C9-B9&lt;=20,(C9-B9)/B9&lt;=0.05),"PASS","FAIL")</f>
        <v>PASS</v>
      </c>
    </row>
    <row r="10" ht="22" customHeight="1" spans="1:6" x14ac:dyDescent="0.25">
      <c r="A10" s="5" t="s">
        <v>17</v>
      </c>
      <c r="B10" s="7" t="str">
        <f>'Samples (2-min)'!F2&amp;" / "&amp;'Samples (2-min)'!G2</f>
        <v>9 / 9</v>
      </c>
      <c r="C10" s="7" t="str">
        <f>'Samples (2-min)'!F33&amp;" / "&amp;'Samples (2-min)'!G33</f>
        <v>9 / 9</v>
      </c>
      <c r="D10" s="7" t="str">
        <f>TEXT('Samples (2-min)'!F33-'Samples (2-min)'!F2,"+0;-0;0")&amp;" / "&amp;TEXT('Samples (2-min)'!G33-'Samples (2-min)'!G2,"+0;-0;0")</f>
        <v>0 / 0</v>
      </c>
      <c r="E10" s="8" t="s">
        <v>18</v>
      </c>
      <c r="F10" s="9" t="str">
        <f>IF(AND('Samples (2-min)'!F33&lt;='Samples (2-min)'!F2,'Samples (2-min)'!G33&lt;='Samples (2-min)'!G2),"PASS","FAIL")</f>
        <v>PASS</v>
      </c>
    </row>
    <row r="11" ht="22" customHeight="1" spans="1:6" x14ac:dyDescent="0.25">
      <c r="A11" s="5" t="s">
        <v>19</v>
      </c>
      <c r="B11" s="11">
        <f>'Samples (2-min)'!H2/100</f>
        <v>0.006500000000000001</v>
      </c>
      <c r="C11" s="11">
        <f>'Samples (2-min)'!H33/100</f>
        <v>0.011699999999999999</v>
      </c>
      <c r="D11" s="7" t="str">
        <f>TEXT((C11-B11)*100,"+0.00;-0.00")&amp;" percentage points"</f>
        <v>+0.52 percentage points</v>
      </c>
      <c r="E11" s="8" t="s">
        <v>20</v>
      </c>
      <c r="F11" s="9" t="str">
        <f>IF(C11&lt;=0.05,"PASS","FAIL")</f>
        <v>PASS</v>
      </c>
    </row>
    <row r="12" ht="22" customHeight="1" spans="1:6" x14ac:dyDescent="0.25">
      <c r="A12" s="5" t="s">
        <v>21</v>
      </c>
      <c r="B12" s="12">
        <v>69.00000000000013</v>
      </c>
      <c r="C12" s="12">
        <v>67.1794871794873</v>
      </c>
      <c r="D12" s="7" t="str">
        <f>TEXT((C12-B12)/B12,"+0.0%;-0.0%")</f>
        <v>-2.6%</v>
      </c>
      <c r="E12" s="8" t="s">
        <v>22</v>
      </c>
      <c r="F12" s="9" t="str">
        <f>IF((C12-B12)/B12&lt;=0.15,"PASS","FAIL")</f>
        <v>PASS</v>
      </c>
    </row>
    <row r="13" ht="22" customHeight="1" spans="1:6" x14ac:dyDescent="0.25">
      <c r="A13" s="5" t="s">
        <v>23</v>
      </c>
      <c r="B13" s="11" t="s">
        <v>24</v>
      </c>
      <c r="C13" s="11">
        <v>1</v>
      </c>
      <c r="D13" s="7" t="s">
        <v>25</v>
      </c>
      <c r="E13" s="8" t="s">
        <v>26</v>
      </c>
      <c r="F13" s="9" t="str">
        <f>IF(C13&gt;=0.995,"PASS","FAIL")</f>
        <v>PASS</v>
      </c>
    </row>
    <row r="15" spans="1:2" x14ac:dyDescent="0.25">
      <c r="A15" s="13" t="s">
        <v>27</v>
      </c>
      <c r="B15" s="14" t="str">
        <f>IF(COUNTIF(F6:F13,"PASS")=8,"ALL PASS",COUNTIF(F6:F13,"FAIL")&amp;" FAIL")</f>
        <v>ALL PASS</v>
      </c>
    </row>
    <row r="17" spans="1:6" x14ac:dyDescent="0.25">
      <c r="A17" s="2" t="s">
        <v>28</v>
      </c>
      <c r="B17" s="2"/>
      <c r="C17" s="2"/>
      <c r="D17" s="2"/>
      <c r="E17" s="2"/>
      <c r="F17" s="2"/>
    </row>
  </sheetData>
  <mergeCells count="3">
    <mergeCell ref="A1:F1"/>
    <mergeCell ref="A2:F2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100" customWidth="1"/>
  </cols>
  <sheetData>
    <row r="1" spans="1:2" x14ac:dyDescent="0.25">
      <c r="A1" s="22" t="s">
        <v>88</v>
      </c>
      <c r="B1" s="23" t="s">
        <v>89</v>
      </c>
    </row>
    <row r="2" spans="1:2" x14ac:dyDescent="0.25">
      <c r="A2" s="22" t="s">
        <v>90</v>
      </c>
      <c r="B2" s="23" t="s">
        <v>91</v>
      </c>
    </row>
    <row r="3" spans="1:2" x14ac:dyDescent="0.25">
      <c r="A3" s="22" t="s">
        <v>92</v>
      </c>
      <c r="B3" s="23" t="s">
        <v>93</v>
      </c>
    </row>
    <row r="4" spans="1:2" x14ac:dyDescent="0.25">
      <c r="A4" s="22" t="s">
        <v>94</v>
      </c>
      <c r="B4" s="23" t="s">
        <v>95</v>
      </c>
    </row>
    <row r="5" spans="1:2" x14ac:dyDescent="0.25">
      <c r="A5" s="22" t="s">
        <v>96</v>
      </c>
      <c r="B5" s="23" t="s">
        <v>97</v>
      </c>
    </row>
    <row r="6" spans="1:2" x14ac:dyDescent="0.25">
      <c r="A6" s="22" t="s">
        <v>19</v>
      </c>
      <c r="B6" s="23" t="s">
        <v>98</v>
      </c>
    </row>
    <row r="7" spans="1:2" x14ac:dyDescent="0.25">
      <c r="A7" s="22" t="s">
        <v>99</v>
      </c>
      <c r="B7" s="23" t="s">
        <v>100</v>
      </c>
    </row>
    <row r="8" spans="1:2" x14ac:dyDescent="0.25">
      <c r="A8" s="22" t="s">
        <v>101</v>
      </c>
      <c r="B8" s="23" t="s">
        <v>102</v>
      </c>
    </row>
    <row r="9" spans="1:2" x14ac:dyDescent="0.25">
      <c r="A9" s="22" t="s">
        <v>103</v>
      </c>
      <c r="B9" s="23" t="s">
        <v>104</v>
      </c>
    </row>
    <row r="10" spans="1:2" x14ac:dyDescent="0.25">
      <c r="A10" s="22" t="s">
        <v>105</v>
      </c>
      <c r="B10" s="23" t="s">
        <v>106</v>
      </c>
    </row>
    <row r="11" spans="1:2" x14ac:dyDescent="0.25">
      <c r="A11" s="22" t="s">
        <v>107</v>
      </c>
      <c r="B11" s="23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Samples (2-min)</vt:lpstr>
      <vt:lpstr>Method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perf-soak.js</dc:creator>
  <dc:title/>
  <dc:subject/>
  <dc:description/>
  <cp:keywords/>
  <cp:category/>
  <cp:lastModifiedBy>Unknown</cp:lastModifiedBy>
  <dcterms:created xsi:type="dcterms:W3CDTF">2026-09-21T17:47:10Z</dcterms:created>
  <dcterms:modified xsi:type="dcterms:W3CDTF">2026-09-21T17:47:10Z</dcterms:modified>
</cp:coreProperties>
</file>