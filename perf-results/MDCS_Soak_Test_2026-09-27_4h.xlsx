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worksheets/sheet1.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2000" windowHeight="24000" activeTab="0"/>
  </bookViews>
  <sheets>
    <sheet sheetId="2" name="Summary" state="visible" r:id="rId4"/>
    <sheet sheetId="1" name="Samples (2-min)" state="visible" r:id="rId5"/>
    <sheet sheetId="3" name="Method &amp; Notes" state="visible" r:id="rId6"/>
  </sheets>
  <calcPr calcId="171027"/>
</workbook>
</file>

<file path=xl/sharedStrings.xml><?xml version="1.0" encoding="utf-8"?>
<sst xmlns="http://schemas.openxmlformats.org/spreadsheetml/2006/main" count="430" uniqueCount="211">
  <si>
    <t>MDCS 4-hour soak (2026-09-27) — results</t>
  </si>
  <si>
    <t>Soak: 240 min continuous Auto Click from a cold start (T0 = freshly signed-in dashboard, no warm-up) · sampled every 2 min · T0 and T+1h are like-for-like readings on /mdcs/dashboard after forced GC (see Method &amp; Notes)</t>
  </si>
  <si>
    <t>Metric</t>
  </si>
  <si>
    <t>T0 Baseline</t>
  </si>
  <si>
    <t>T+1h</t>
  </si>
  <si>
    <t>Change T0 → T+1h</t>
  </si>
  <si>
    <t>Limit</t>
  </si>
  <si>
    <t>Result</t>
  </si>
  <si>
    <t>Post-GC JS Heap (MB)</t>
  </si>
  <si>
    <t>≤ +10 MB or +10%</t>
  </si>
  <si>
    <t>Heap Slope / Trend (MB per 10 cycles)</t>
  </si>
  <si>
    <t>whole run 0.31 → second half 0.10 MB/10 cycles; range 28.1–34.5 MB</t>
  </si>
  <si>
    <t>≤ 1 MB / 10 cycles, or a bounded plateau</t>
  </si>
  <si>
    <t>DOM Nodes</t>
  </si>
  <si>
    <t>≤ +100 or +5%</t>
  </si>
  <si>
    <t>Event Listeners</t>
  </si>
  <si>
    <t>≤ +20 or +5%</t>
  </si>
  <si>
    <t>Documents / Frames</t>
  </si>
  <si>
    <t>38 / 38</t>
  </si>
  <si>
    <t>+0 / +0</t>
  </si>
  <si>
    <t>No increase</t>
  </si>
  <si>
    <t>Idle CPU</t>
  </si>
  <si>
    <t>≤ 5%</t>
  </si>
  <si>
    <t>Median Cycle Runtime (ms CPU / cycle)</t>
  </si>
  <si>
    <t>≤ +15%</t>
  </si>
  <si>
    <t>Automation Reliability</t>
  </si>
  <si>
    <t>—</t>
  </si>
  <si>
    <t>0 stall(s), 0 continuity break(s), 4674 clicks</t>
  </si>
  <si>
    <t>≥ 99.5%</t>
  </si>
  <si>
    <t>OVERALL: at least one standard not met — see the FAIL rows above.</t>
  </si>
  <si>
    <t>T0 and T+1h pull from the Samples sheet (bold rows); change and result cells are formulas, so editing a sample updates them.</t>
  </si>
  <si>
    <t>Time (UTC)</t>
  </si>
  <si>
    <t>Elapsed (min)</t>
  </si>
  <si>
    <t>JS heap (MB)</t>
  </si>
  <si>
    <t>Nodes</t>
  </si>
  <si>
    <t>Listeners</t>
  </si>
  <si>
    <t>Documents</t>
  </si>
  <si>
    <t>Frames</t>
  </si>
  <si>
    <t>Layouts</t>
  </si>
  <si>
    <t>Style recalcs</t>
  </si>
  <si>
    <t>Task duration (s)</t>
  </si>
  <si>
    <t>CPU % since last</t>
  </si>
  <si>
    <t>Clicks</t>
  </si>
  <si>
    <t>Tabs</t>
  </si>
  <si>
    <t>URL</t>
  </si>
  <si>
    <t>Note</t>
  </si>
  <si>
    <t>2026-09-27T01:48:16.511Z</t>
  </si>
  <si>
    <t>http://localhost:8035/mdcs/dashboard</t>
  </si>
  <si>
    <t>controlled-baseline (idle cpu)</t>
  </si>
  <si>
    <t>2026-09-27T01:50:24.634Z</t>
  </si>
  <si>
    <t/>
  </si>
  <si>
    <t>2026-09-27T01:52:26.039Z</t>
  </si>
  <si>
    <t>http://localhost:8035/mdcs/parameter-trial/end-trial</t>
  </si>
  <si>
    <t>2026-09-27T01:54:28.456Z</t>
  </si>
  <si>
    <t>http://localhost:8035/mdcs/parameter-trial/parameter-mode</t>
  </si>
  <si>
    <t>2026-09-27T01:56:29.830Z</t>
  </si>
  <si>
    <t>http://localhost:8035/mdcs/report/adhoc/bus-arrival-exception-list</t>
  </si>
  <si>
    <t>2026-09-27T01:58:32.228Z</t>
  </si>
  <si>
    <t>http://localhost:8035/mdcs/event-history</t>
  </si>
  <si>
    <t>2026-09-27T02:00:34.781Z</t>
  </si>
  <si>
    <t>2026-09-27T02:02:37.333Z</t>
  </si>
  <si>
    <t>2026-09-27T02:04:40.280Z</t>
  </si>
  <si>
    <t>http://localhost:8035/mdcs/maintenance/audit-log</t>
  </si>
  <si>
    <t>2026-09-27T02:06:42.973Z</t>
  </si>
  <si>
    <t>2026-09-27T02:08:44.420Z</t>
  </si>
  <si>
    <t>2026-09-27T02:10:47.190Z</t>
  </si>
  <si>
    <t>http://localhost:8035/mdcs/parameter-trial/approval</t>
  </si>
  <si>
    <t>2026-09-27T02:12:48.595Z</t>
  </si>
  <si>
    <t>http://localhost:8035/mdcs/parameter-trial/trial-device-selection</t>
  </si>
  <si>
    <t>2026-09-27T02:14:49.983Z</t>
  </si>
  <si>
    <t>2026-09-27T02:16:52.753Z</t>
  </si>
  <si>
    <t>2026-09-27T02:18:56.072Z</t>
  </si>
  <si>
    <t>2026-09-27T02:20:57.478Z</t>
  </si>
  <si>
    <t>2026-09-27T02:22:59.809Z</t>
  </si>
  <si>
    <t>http://localhost:8035/mdcs/card-key-version</t>
  </si>
  <si>
    <t>2026-09-27T02:25:01.208Z</t>
  </si>
  <si>
    <t>http://localhost:8035/mdcs/parameter-viewer</t>
  </si>
  <si>
    <t>2026-09-27T02:27:02.603Z</t>
  </si>
  <si>
    <t>http://localhost:8035/mdcs/maintenance/eod-process</t>
  </si>
  <si>
    <t>2026-09-27T02:29:05.028Z</t>
  </si>
  <si>
    <t>2026-09-27T02:31:07.349Z</t>
  </si>
  <si>
    <t>2026-09-27T02:33:09.749Z</t>
  </si>
  <si>
    <t>http://localhost:8035/mdcs/dagw-parameter</t>
  </si>
  <si>
    <t>2026-09-27T02:35:12.149Z</t>
  </si>
  <si>
    <t>2026-09-27T02:37:13.621Z</t>
  </si>
  <si>
    <t>2026-09-27T02:39:16.112Z</t>
  </si>
  <si>
    <t>2026-09-27T02:41:17.530Z</t>
  </si>
  <si>
    <t>http://localhost:8035/mdcs/bus-list</t>
  </si>
  <si>
    <t>2026-09-27T02:43:18.942Z</t>
  </si>
  <si>
    <t>2026-09-27T02:45:20.356Z</t>
  </si>
  <si>
    <t>http://localhost:8035/mdcs/maintenance/diagnostics</t>
  </si>
  <si>
    <t>2026-09-27T02:47:22.896Z</t>
  </si>
  <si>
    <t>2026-09-27T02:49:25.354Z</t>
  </si>
  <si>
    <t>http://localhost:8035/mdcs/parameter-trial/parameter-version-summary</t>
  </si>
  <si>
    <t>2026-09-27T02:51:26.757Z</t>
  </si>
  <si>
    <t>http://localhost:8035/mdcs/report/adhoc/bus-partial-upload-report</t>
  </si>
  <si>
    <t>2026-09-27T02:53:33.466Z</t>
  </si>
  <si>
    <t>2026-09-27T02:55:36.211Z</t>
  </si>
  <si>
    <t>2026-09-27T02:57:37.628Z</t>
  </si>
  <si>
    <t>2026-09-27T02:59:40.508Z</t>
  </si>
  <si>
    <t>http://localhost:8035/mdcs/bus-operation</t>
  </si>
  <si>
    <t>2026-09-27T03:01:41.957Z</t>
  </si>
  <si>
    <t>2026-09-27T03:03:44.127Z</t>
  </si>
  <si>
    <t>http://localhost:8035/mdcs/notification-centre</t>
  </si>
  <si>
    <t>2026-09-27T03:05:45.569Z</t>
  </si>
  <si>
    <t>2026-09-27T03:07:48.307Z</t>
  </si>
  <si>
    <t>2026-09-27T03:09:49.720Z</t>
  </si>
  <si>
    <t>2026-09-27T03:11:52.616Z</t>
  </si>
  <si>
    <t>2026-09-27T03:13:55.676Z</t>
  </si>
  <si>
    <t>http://localhost:8035/mdcs/bus-transfer</t>
  </si>
  <si>
    <t>2026-09-27T03:15:57.108Z</t>
  </si>
  <si>
    <t>2026-09-27T03:18:00.084Z</t>
  </si>
  <si>
    <t>2026-09-27T03:20:01.516Z</t>
  </si>
  <si>
    <t>2026-09-27T03:22:04.473Z</t>
  </si>
  <si>
    <t>2026-09-27T03:24:07.492Z</t>
  </si>
  <si>
    <t>2026-09-27T03:26:10.066Z</t>
  </si>
  <si>
    <t>2026-09-27T03:28:11.505Z</t>
  </si>
  <si>
    <t>2026-09-27T03:30:14.306Z</t>
  </si>
  <si>
    <t>2026-09-27T03:32:17.128Z</t>
  </si>
  <si>
    <t>2026-09-27T03:34:18.547Z</t>
  </si>
  <si>
    <t>2026-09-27T03:36:19.998Z</t>
  </si>
  <si>
    <t>2026-09-27T03:38:22.221Z</t>
  </si>
  <si>
    <t>http://localhost:8035/mdcs/vehicle-list</t>
  </si>
  <si>
    <t>2026-09-27T03:40:24.964Z</t>
  </si>
  <si>
    <t>2026-09-27T03:42:26.400Z</t>
  </si>
  <si>
    <t>2026-09-27T03:44:28.726Z</t>
  </si>
  <si>
    <t>2026-09-27T03:46:31.165Z</t>
  </si>
  <si>
    <t>http://localhost:8035/mdcs/maintenance/system-information</t>
  </si>
  <si>
    <t>2026-09-27T03:48:32.612Z</t>
  </si>
  <si>
    <t>2026-09-27T03:50:35.033Z</t>
  </si>
  <si>
    <t>2026-09-27T03:52:41.638Z</t>
  </si>
  <si>
    <t>2026-09-27T03:54:43.092Z</t>
  </si>
  <si>
    <t>2026-09-27T03:56:45.470Z</t>
  </si>
  <si>
    <t>2026-09-27T03:58:47.824Z</t>
  </si>
  <si>
    <t>2026-09-27T04:00:49.262Z</t>
  </si>
  <si>
    <t>2026-09-27T04:02:51.600Z</t>
  </si>
  <si>
    <t>2026-09-27T04:04:54.021Z</t>
  </si>
  <si>
    <t>2026-09-27T04:06:55.485Z</t>
  </si>
  <si>
    <t>2026-09-27T04:08:57.835Z</t>
  </si>
  <si>
    <t>2026-09-27T04:11:00.164Z</t>
  </si>
  <si>
    <t>2026-09-27T04:13:01.623Z</t>
  </si>
  <si>
    <t>2026-09-27T04:15:03.882Z</t>
  </si>
  <si>
    <t>2026-09-27T04:17:06.154Z</t>
  </si>
  <si>
    <t>2026-09-27T04:19:07.640Z</t>
  </si>
  <si>
    <t>2026-09-27T04:21:09.857Z</t>
  </si>
  <si>
    <t>2026-09-27T04:23:12.128Z</t>
  </si>
  <si>
    <t>2026-09-27T04:25:13.618Z</t>
  </si>
  <si>
    <t>2026-09-27T04:27:15.793Z</t>
  </si>
  <si>
    <t>2026-09-27T04:29:18.028Z</t>
  </si>
  <si>
    <t>2026-09-27T04:31:19.503Z</t>
  </si>
  <si>
    <t>2026-09-27T04:33:21.648Z</t>
  </si>
  <si>
    <t>2026-09-27T04:35:23.736Z</t>
  </si>
  <si>
    <t>2026-09-27T04:37:25.212Z</t>
  </si>
  <si>
    <t>2026-09-27T04:39:27.280Z</t>
  </si>
  <si>
    <t>2026-09-27T04:41:29.327Z</t>
  </si>
  <si>
    <t>2026-09-27T04:43:30.775Z</t>
  </si>
  <si>
    <t>2026-09-27T04:45:32.237Z</t>
  </si>
  <si>
    <t>2026-09-27T04:47:34.251Z</t>
  </si>
  <si>
    <t>2026-09-27T04:49:35.708Z</t>
  </si>
  <si>
    <t>2026-09-27T04:51:37.168Z</t>
  </si>
  <si>
    <t>2026-09-27T04:53:45.018Z</t>
  </si>
  <si>
    <t>2026-09-27T04:55:47.023Z</t>
  </si>
  <si>
    <t>2026-09-27T04:57:48.482Z</t>
  </si>
  <si>
    <t>2026-09-27T04:59:49.962Z</t>
  </si>
  <si>
    <t>2026-09-27T05:01:51.960Z</t>
  </si>
  <si>
    <t>2026-09-27T05:03:53.928Z</t>
  </si>
  <si>
    <t>2026-09-27T05:05:55.537Z</t>
  </si>
  <si>
    <t>2026-09-27T05:07:57.457Z</t>
  </si>
  <si>
    <t>2026-09-27T05:09:59.382Z</t>
  </si>
  <si>
    <t>2026-09-27T05:12:00.861Z</t>
  </si>
  <si>
    <t>2026-09-27T05:14:02.812Z</t>
  </si>
  <si>
    <t>2026-09-27T05:16:04.733Z</t>
  </si>
  <si>
    <t>2026-09-27T05:18:06.211Z</t>
  </si>
  <si>
    <t>2026-09-27T05:20:07.692Z</t>
  </si>
  <si>
    <t>2026-09-27T05:22:09.147Z</t>
  </si>
  <si>
    <t>2026-09-27T05:24:10.641Z</t>
  </si>
  <si>
    <t>2026-09-27T05:26:12.136Z</t>
  </si>
  <si>
    <t>2026-09-27T05:28:13.615Z</t>
  </si>
  <si>
    <t>2026-09-27T05:30:15.117Z</t>
  </si>
  <si>
    <t>2026-09-27T05:32:16.614Z</t>
  </si>
  <si>
    <t>2026-09-27T05:34:18.090Z</t>
  </si>
  <si>
    <t>2026-09-27T05:36:19.572Z</t>
  </si>
  <si>
    <t>2026-09-27T05:38:21.076Z</t>
  </si>
  <si>
    <t>2026-09-27T05:40:22.574Z</t>
  </si>
  <si>
    <t>2026-09-27T05:42:24.063Z</t>
  </si>
  <si>
    <t>2026-09-27T05:44:25.555Z</t>
  </si>
  <si>
    <t>2026-09-27T05:46:27.073Z</t>
  </si>
  <si>
    <t>2026-09-27T05:48:28.568Z</t>
  </si>
  <si>
    <t>2026-09-27T05:50:45.840Z</t>
  </si>
  <si>
    <t>controlled-final (idle cpu)</t>
  </si>
  <si>
    <t>Procedure</t>
  </si>
  <si>
    <t>pnpm start:dummy + pnpm server:mdcs + pnpm ws:mdcs → sign in as supervisor/SBST → enable Auto Click → sample every 2 min for the duration. Driven by src/tools/perf-soak.js against headless Chrome.</t>
  </si>
  <si>
    <t>Metric source</t>
  </si>
  <si>
    <t>Chrome's Performance.getMetrics over CDP — the same counters the DevTools Performance Monitor panel renders (JSHeapUsedSize, Nodes, JSEventListeners, Documents, Frames, TaskDuration).</t>
  </si>
  <si>
    <t>Post-GC</t>
  </si>
  <si>
    <t>Every reading is taken after 3 rounds of HeapProfiler.collectGarbage + gc({type:"major"}). One round leaves hundreds of nodes uncollected, because Blink's node counter spans V8 and Oilpan and cross-heap wrappers take several cycles to free.</t>
  </si>
  <si>
    <t>Warm-up</t>
  </si>
  <si>
    <t>None. T0 is read on the dashboard straight after sign-in, exactly as in the manual procedure, so every first-use cost (V8 JIT code, Angular template metadata) falls inside the measured hour. The app loads its full SVG icon set at startup (SvgIconCacheService), so Documents/Frames are fixed from the first reading rather than growing as pages are visited.</t>
  </si>
  <si>
    <t>Like-for-like T0 / T+1h</t>
  </si>
  <si>
    <t>Nodes and Documents/Frames swing by hundreds depending on which route is mounted, so both readings are taken on /mdcs/dashboard, reached by in-app navigation, with Auto Click off and after forced GC. The 2-min samples are taken wherever the clicker happens to be and show the in-soak trend.</t>
  </si>
  <si>
    <t>Main-thread TaskDuration over a 10 s window with Auto Click off, on the dashboard, immediately before each controlled reading.</t>
  </si>
  <si>
    <t>Heap slope</t>
  </si>
  <si>
    <t>Least-squares slope of post-GC heap across the in-soak samples; one cycle = one 2-min sample, so the figure is MB per 20 min. Whole run 0.31, second half 0.10. Passing on the second half means the heap climbed while V8 compiled the app's code and Angular built each screen's metadata, then held flat — a bounded plateau rather than ongoing growth.</t>
  </si>
  <si>
    <t>Median cycle runtime</t>
  </si>
  <si>
    <t>One cycle is a fixed in-app loop through 9 routes (/mdcs/bus-operation, /mdcs/bus-list, /mdcs/bus-transfer, /mdcs/report/daily-report/daily-bus-list-report, /mdcs/parameter-viewer, /mdcs/maintenance/audit-log, /mdcs/parameter-trial/parameter-mode, /mdcs/event-history, /mdcs/dashboard), run 5× right after the T0 reading and 5× right after the T+1h reading; the row compares median main-thread CPU per cycle. T0 runs (ms): 1459, 1156, 1075, 1126, 1048. T+1h runs (ms): 1293, 1219, 1149, 1122, 1095. A fixed loop is used because a random auto-click costs anywhere from ~50 to ~170 ms depending on the page it lands on, so comparing random intervals measures the page mix rather than the app.</t>
  </si>
  <si>
    <t>Tab visibility</t>
  </si>
  <si>
    <t>The page must stay the visible, foreground tab: a hidden tab gets no animation frames, so rAF callbacks and CSS animations are never serviced and everything they reference piles up. The harness checks every 20 s and logs any hidden period in the Note column; the auto-clicker skips controls that open a new tab (DAMS, target=_blank links).</t>
  </si>
  <si>
    <t>Automation reliability</t>
  </si>
  <si>
    <t>Share of soak time the clicker was actively ticking. A watchdog checks every 20 s; a stall (no ticks for 30 s+) costs at most 60 s and is re-armed. Any session loss (page reload) is a continuity break and fails this row.</t>
  </si>
  <si>
    <t>Run</t>
  </si>
  <si>
    <t>Stalls: 0. Continuity breaks: 0. Total auto-clicks: 4674. In-soak samples: 118. Source CSV: verify4h.csv.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</si>
</sst>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7" x14ac:knownFonts="1">
    <font>
      <color theme="1"/>
      <family val="2"/>
      <scheme val="minor"/>
      <sz val="11"/>
      <name val="Calibri"/>
    </font>
    <font>
      <b/>
      <sz val="14"/>
      <name val="Arial"/>
    </font>
    <font>
      <i/>
      <color rgb="FF57706C"/>
      <sz val="10"/>
      <name val="Arial"/>
    </font>
    <font>
      <b/>
      <color rgb="FFFFFFFF"/>
      <sz val="10"/>
      <name val="Arial"/>
    </font>
    <font>
      <sz val="10"/>
      <name val="Arial"/>
    </font>
    <font>
      <b/>
      <sz val="10"/>
      <name val="Arial"/>
    </font>
    <font>
      <b/>
      <sz val="11"/>
      <name val="Arial"/>
    </font>
  </fonts>
  <fills count="5">
    <fill>
      <patternFill patternType="none"/>
    </fill>
    <fill>
      <patternFill patternType="gray125"/>
    </fill>
    <fill>
      <patternFill patternType="solid">
        <fgColor rgb="FF1F4E5F"/>
      </patternFill>
    </fill>
    <fill>
      <patternFill patternType="solid">
        <fgColor rgb="FFFBE3E3"/>
      </patternFill>
    </fill>
    <fill>
      <patternFill patternType="solid">
        <fgColor rgb="FFE3F2E7"/>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9">
    <xf numFmtId="0" fontId="0" fillId="0" borderId="0" xfId="0"/>
    <xf numFmtId="0" fontId="1" fillId="0" borderId="0" xfId="0" applyFont="1"/>
    <xf numFmtId="0" fontId="2" fillId="0" borderId="0" xfId="0" applyFont="1"/>
    <xf numFmtId="0" fontId="3" fillId="2" borderId="1" xfId="0" applyFont="1" applyFill="1" applyBorder="1" applyAlignment="1">
      <alignment horizontal="left" vertical="center"/>
    </xf>
    <xf numFmtId="0" fontId="3" fillId="2" borderId="1" xfId="0" applyFont="1" applyFill="1" applyBorder="1" applyAlignment="1">
      <alignment horizontal="center" vertical="center"/>
    </xf>
    <xf numFmtId="0" fontId="4" fillId="0" borderId="1" xfId="0" applyFont="1" applyBorder="1" applyAlignment="1">
      <alignment horizontal="left" vertical="center"/>
    </xf>
    <xf numFmtId="2" fontId="4" fillId="0" borderId="1" xfId="0" applyNumberFormat="1" applyFont="1" applyBorder="1" applyAlignment="1">
      <alignment horizontal="center" vertical="center"/>
    </xf>
    <xf numFmtId="0" fontId="4" fillId="0" borderId="1" xfId="0" applyFont="1" applyBorder="1" applyAlignment="1">
      <alignment horizontal="center" vertical="center"/>
    </xf>
    <xf numFmtId="0" fontId="5" fillId="3" borderId="1" xfId="0" applyFont="1" applyFill="1" applyBorder="1" applyAlignment="1">
      <alignment horizontal="center" vertical="center"/>
    </xf>
    <xf numFmtId="0" fontId="5" fillId="4" borderId="1" xfId="0" applyFont="1" applyFill="1" applyBorder="1" applyAlignment="1">
      <alignment horizontal="center" vertical="center"/>
    </xf>
    <xf numFmtId="1" fontId="4" fillId="0" borderId="1" xfId="0" applyNumberFormat="1" applyFont="1" applyBorder="1" applyAlignment="1">
      <alignment horizontal="center" vertical="center"/>
    </xf>
    <xf numFmtId="10" fontId="4" fillId="0" borderId="1" xfId="0" applyNumberFormat="1" applyFont="1" applyBorder="1" applyAlignment="1">
      <alignment horizontal="center" vertical="center"/>
    </xf>
    <xf numFmtId="164" fontId="4" fillId="0" borderId="1" xfId="0" applyNumberFormat="1" applyFont="1" applyBorder="1" applyAlignment="1">
      <alignment horizontal="center" vertical="center"/>
    </xf>
    <xf numFmtId="0" fontId="6" fillId="3" borderId="0" xfId="0" applyFont="1" applyFill="1"/>
    <xf numFmtId="0" fontId="3" fillId="2" borderId="1" xfId="0" applyFont="1" applyFill="1" applyBorder="1"/>
    <xf numFmtId="0" fontId="5" fillId="0" borderId="1" xfId="0" applyFont="1" applyBorder="1"/>
    <xf numFmtId="0" fontId="4" fillId="0" borderId="1" xfId="0" applyFont="1" applyBorder="1"/>
    <xf numFmtId="0" fontId="5" fillId="0" borderId="0" xfId="0" applyFont="1" applyAlignment="1">
      <alignment vertical="top"/>
    </xf>
    <xf numFmtId="0" fontId="4"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1.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21"/>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3" width="13" customWidth="1"/>
    <col min="5" max="6" width="11" customWidth="1"/>
    <col min="8" max="8" width="10" customWidth="1"/>
    <col min="9" max="9" width="14" customWidth="1"/>
    <col min="10" max="11" width="16" customWidth="1"/>
    <col min="13" max="13" width="7" customWidth="1"/>
    <col min="14" max="14" width="46" customWidth="1"/>
    <col min="15" max="15" width="40" customWidth="1"/>
  </cols>
  <sheetData>
    <row r="1" spans="1:15" x14ac:dyDescent="0.25">
      <c r="A1" s="14" t="s">
        <v>31</v>
      </c>
      <c r="B1" s="14" t="s">
        <v>32</v>
      </c>
      <c r="C1" s="14" t="s">
        <v>33</v>
      </c>
      <c r="D1" s="14" t="s">
        <v>34</v>
      </c>
      <c r="E1" s="14" t="s">
        <v>35</v>
      </c>
      <c r="F1" s="14" t="s">
        <v>36</v>
      </c>
      <c r="G1" s="14" t="s">
        <v>37</v>
      </c>
      <c r="H1" s="14" t="s">
        <v>38</v>
      </c>
      <c r="I1" s="14" t="s">
        <v>39</v>
      </c>
      <c r="J1" s="14" t="s">
        <v>40</v>
      </c>
      <c r="K1" s="14" t="s">
        <v>41</v>
      </c>
      <c r="L1" s="14" t="s">
        <v>42</v>
      </c>
      <c r="M1" s="14" t="s">
        <v>43</v>
      </c>
      <c r="N1" s="14" t="s">
        <v>44</v>
      </c>
      <c r="O1" s="14" t="s">
        <v>45</v>
      </c>
    </row>
    <row r="2" spans="1:15" x14ac:dyDescent="0.25">
      <c r="A2" s="15" t="s">
        <v>46</v>
      </c>
      <c r="B2" s="15">
        <v>0</v>
      </c>
      <c r="C2" s="15">
        <v>22.62</v>
      </c>
      <c r="D2" s="15">
        <v>1432</v>
      </c>
      <c r="E2" s="15">
        <v>235</v>
      </c>
      <c r="F2" s="15">
        <v>38</v>
      </c>
      <c r="G2" s="15">
        <v>38</v>
      </c>
      <c r="H2" s="15">
        <v>47</v>
      </c>
      <c r="I2" s="15">
        <v>57</v>
      </c>
      <c r="J2" s="15">
        <v>1.79</v>
      </c>
      <c r="K2" s="15">
        <v>0.52</v>
      </c>
      <c r="L2" s="15">
        <v>0</v>
      </c>
      <c r="M2" s="15">
        <v>1</v>
      </c>
      <c r="N2" s="15" t="s">
        <v>47</v>
      </c>
      <c r="O2" s="15" t="s">
        <v>48</v>
      </c>
    </row>
    <row r="3" spans="1:15" x14ac:dyDescent="0.25">
      <c r="A3" s="16" t="s">
        <v>49</v>
      </c>
      <c r="B3" s="16">
        <v>0</v>
      </c>
      <c r="C3" s="16">
        <v>28.65</v>
      </c>
      <c r="D3" s="16">
        <v>1501</v>
      </c>
      <c r="E3" s="16">
        <v>256</v>
      </c>
      <c r="F3" s="16">
        <v>38</v>
      </c>
      <c r="G3" s="16">
        <v>38</v>
      </c>
      <c r="H3" s="16">
        <v>399</v>
      </c>
      <c r="I3" s="16">
        <v>1032</v>
      </c>
      <c r="J3" s="16">
        <v>11.25</v>
      </c>
      <c r="K3" s="16" t="s">
        <v>50</v>
      </c>
      <c r="L3" s="16">
        <v>3</v>
      </c>
      <c r="M3" s="16">
        <v>1</v>
      </c>
      <c r="N3" s="16" t="s">
        <v>47</v>
      </c>
      <c r="O3" s="16" t="s">
        <v>50</v>
      </c>
    </row>
    <row r="4" spans="1:15" x14ac:dyDescent="0.25">
      <c r="A4" s="16" t="s">
        <v>51</v>
      </c>
      <c r="B4" s="16">
        <v>2</v>
      </c>
      <c r="C4" s="16">
        <v>28.15</v>
      </c>
      <c r="D4" s="16">
        <v>2162</v>
      </c>
      <c r="E4" s="16">
        <v>465</v>
      </c>
      <c r="F4" s="16">
        <v>38</v>
      </c>
      <c r="G4" s="16">
        <v>38</v>
      </c>
      <c r="H4" s="16">
        <v>575</v>
      </c>
      <c r="I4" s="16">
        <v>1646</v>
      </c>
      <c r="J4" s="16">
        <v>13.62</v>
      </c>
      <c r="K4" s="16">
        <v>1.96</v>
      </c>
      <c r="L4" s="16">
        <v>42</v>
      </c>
      <c r="M4" s="16">
        <v>1</v>
      </c>
      <c r="N4" s="16" t="s">
        <v>52</v>
      </c>
      <c r="O4" s="16" t="s">
        <v>50</v>
      </c>
    </row>
    <row r="5" spans="1:15" x14ac:dyDescent="0.25">
      <c r="A5" s="16" t="s">
        <v>53</v>
      </c>
      <c r="B5" s="16">
        <v>4.1</v>
      </c>
      <c r="C5" s="16">
        <v>28.96</v>
      </c>
      <c r="D5" s="16">
        <v>2065</v>
      </c>
      <c r="E5" s="16">
        <v>431</v>
      </c>
      <c r="F5" s="16">
        <v>38</v>
      </c>
      <c r="G5" s="16">
        <v>38</v>
      </c>
      <c r="H5" s="16">
        <v>817</v>
      </c>
      <c r="I5" s="16">
        <v>2411</v>
      </c>
      <c r="J5" s="16">
        <v>17.57</v>
      </c>
      <c r="K5" s="16">
        <v>3.23</v>
      </c>
      <c r="L5" s="16">
        <v>81</v>
      </c>
      <c r="M5" s="16">
        <v>1</v>
      </c>
      <c r="N5" s="16" t="s">
        <v>54</v>
      </c>
      <c r="O5" s="16" t="s">
        <v>50</v>
      </c>
    </row>
    <row r="6" spans="1:15" x14ac:dyDescent="0.25">
      <c r="A6" s="16" t="s">
        <v>55</v>
      </c>
      <c r="B6" s="16">
        <v>6.1</v>
      </c>
      <c r="C6" s="16">
        <v>29.14</v>
      </c>
      <c r="D6" s="16">
        <v>1506</v>
      </c>
      <c r="E6" s="16">
        <v>230</v>
      </c>
      <c r="F6" s="16">
        <v>38</v>
      </c>
      <c r="G6" s="16">
        <v>38</v>
      </c>
      <c r="H6" s="16">
        <v>948</v>
      </c>
      <c r="I6" s="16">
        <v>3099</v>
      </c>
      <c r="J6" s="16">
        <v>19.36</v>
      </c>
      <c r="K6" s="16">
        <v>1.47</v>
      </c>
      <c r="L6" s="16">
        <v>121</v>
      </c>
      <c r="M6" s="16">
        <v>1</v>
      </c>
      <c r="N6" s="16" t="s">
        <v>56</v>
      </c>
      <c r="O6" s="16" t="s">
        <v>50</v>
      </c>
    </row>
    <row r="7" spans="1:15" x14ac:dyDescent="0.25">
      <c r="A7" s="16" t="s">
        <v>57</v>
      </c>
      <c r="B7" s="16">
        <v>8.1</v>
      </c>
      <c r="C7" s="16">
        <v>29</v>
      </c>
      <c r="D7" s="16">
        <v>2120</v>
      </c>
      <c r="E7" s="16">
        <v>265</v>
      </c>
      <c r="F7" s="16">
        <v>38</v>
      </c>
      <c r="G7" s="16">
        <v>38</v>
      </c>
      <c r="H7" s="16">
        <v>1160</v>
      </c>
      <c r="I7" s="16">
        <v>3806</v>
      </c>
      <c r="J7" s="16">
        <v>22.76</v>
      </c>
      <c r="K7" s="16">
        <v>2.78</v>
      </c>
      <c r="L7" s="16">
        <v>160</v>
      </c>
      <c r="M7" s="16">
        <v>1</v>
      </c>
      <c r="N7" s="16" t="s">
        <v>58</v>
      </c>
      <c r="O7" s="16" t="s">
        <v>50</v>
      </c>
    </row>
    <row r="8" spans="1:15" x14ac:dyDescent="0.25">
      <c r="A8" s="16" t="s">
        <v>59</v>
      </c>
      <c r="B8" s="16">
        <v>10.2</v>
      </c>
      <c r="C8" s="16">
        <v>29.15</v>
      </c>
      <c r="D8" s="16">
        <v>2121</v>
      </c>
      <c r="E8" s="16">
        <v>265</v>
      </c>
      <c r="F8" s="16">
        <v>38</v>
      </c>
      <c r="G8" s="16">
        <v>38</v>
      </c>
      <c r="H8" s="16">
        <v>1328</v>
      </c>
      <c r="I8" s="16">
        <v>4323</v>
      </c>
      <c r="J8" s="16">
        <v>25.73</v>
      </c>
      <c r="K8" s="16">
        <v>2.43</v>
      </c>
      <c r="L8" s="16">
        <v>199</v>
      </c>
      <c r="M8" s="16">
        <v>1</v>
      </c>
      <c r="N8" s="16" t="s">
        <v>58</v>
      </c>
      <c r="O8" s="16" t="s">
        <v>50</v>
      </c>
    </row>
    <row r="9" spans="1:15" x14ac:dyDescent="0.25">
      <c r="A9" s="16" t="s">
        <v>60</v>
      </c>
      <c r="B9" s="16">
        <v>12.2</v>
      </c>
      <c r="C9" s="16">
        <v>29.73</v>
      </c>
      <c r="D9" s="16">
        <v>2620</v>
      </c>
      <c r="E9" s="16">
        <v>265</v>
      </c>
      <c r="F9" s="16">
        <v>38</v>
      </c>
      <c r="G9" s="16">
        <v>38</v>
      </c>
      <c r="H9" s="16">
        <v>1454</v>
      </c>
      <c r="I9" s="16">
        <v>5029</v>
      </c>
      <c r="J9" s="16">
        <v>28.02</v>
      </c>
      <c r="K9" s="16">
        <v>1.87</v>
      </c>
      <c r="L9" s="16">
        <v>239</v>
      </c>
      <c r="M9" s="16">
        <v>1</v>
      </c>
      <c r="N9" s="16" t="s">
        <v>58</v>
      </c>
      <c r="O9" s="16" t="s">
        <v>50</v>
      </c>
    </row>
    <row r="10" spans="1:15" x14ac:dyDescent="0.25">
      <c r="A10" s="16" t="s">
        <v>61</v>
      </c>
      <c r="B10" s="16">
        <v>14.3</v>
      </c>
      <c r="C10" s="16">
        <v>29.23</v>
      </c>
      <c r="D10" s="16">
        <v>1957</v>
      </c>
      <c r="E10" s="16">
        <v>346</v>
      </c>
      <c r="F10" s="16">
        <v>38</v>
      </c>
      <c r="G10" s="16">
        <v>38</v>
      </c>
      <c r="H10" s="16">
        <v>1614</v>
      </c>
      <c r="I10" s="16">
        <v>5682</v>
      </c>
      <c r="J10" s="16">
        <v>30.26</v>
      </c>
      <c r="K10" s="16">
        <v>1.82</v>
      </c>
      <c r="L10" s="16">
        <v>278</v>
      </c>
      <c r="M10" s="16">
        <v>1</v>
      </c>
      <c r="N10" s="16" t="s">
        <v>62</v>
      </c>
      <c r="O10" s="16" t="s">
        <v>50</v>
      </c>
    </row>
    <row r="11" spans="1:15" x14ac:dyDescent="0.25">
      <c r="A11" s="16" t="s">
        <v>63</v>
      </c>
      <c r="B11" s="16">
        <v>16.3</v>
      </c>
      <c r="C11" s="16">
        <v>29.92</v>
      </c>
      <c r="D11" s="16">
        <v>2162</v>
      </c>
      <c r="E11" s="16">
        <v>302</v>
      </c>
      <c r="F11" s="16">
        <v>38</v>
      </c>
      <c r="G11" s="16">
        <v>38</v>
      </c>
      <c r="H11" s="16">
        <v>1748</v>
      </c>
      <c r="I11" s="16">
        <v>6272</v>
      </c>
      <c r="J11" s="16">
        <v>32.19</v>
      </c>
      <c r="K11" s="16">
        <v>1.57</v>
      </c>
      <c r="L11" s="16">
        <v>318</v>
      </c>
      <c r="M11" s="16">
        <v>1</v>
      </c>
      <c r="N11" s="16" t="s">
        <v>58</v>
      </c>
      <c r="O11" s="16" t="s">
        <v>50</v>
      </c>
    </row>
    <row r="12" spans="1:15" x14ac:dyDescent="0.25">
      <c r="A12" s="16" t="s">
        <v>64</v>
      </c>
      <c r="B12" s="16">
        <v>18.4</v>
      </c>
      <c r="C12" s="16">
        <v>29.95</v>
      </c>
      <c r="D12" s="16">
        <v>1464</v>
      </c>
      <c r="E12" s="16">
        <v>240</v>
      </c>
      <c r="F12" s="16">
        <v>38</v>
      </c>
      <c r="G12" s="16">
        <v>38</v>
      </c>
      <c r="H12" s="16">
        <v>1974</v>
      </c>
      <c r="I12" s="16">
        <v>7075</v>
      </c>
      <c r="J12" s="16">
        <v>36.23</v>
      </c>
      <c r="K12" s="16">
        <v>3.33</v>
      </c>
      <c r="L12" s="16">
        <v>357</v>
      </c>
      <c r="M12" s="16">
        <v>1</v>
      </c>
      <c r="N12" s="16" t="s">
        <v>47</v>
      </c>
      <c r="O12" s="16" t="s">
        <v>50</v>
      </c>
    </row>
    <row r="13" spans="1:15" x14ac:dyDescent="0.25">
      <c r="A13" s="16" t="s">
        <v>65</v>
      </c>
      <c r="B13" s="16">
        <v>20.4</v>
      </c>
      <c r="C13" s="16">
        <v>29.92</v>
      </c>
      <c r="D13" s="16">
        <v>2003</v>
      </c>
      <c r="E13" s="16">
        <v>415</v>
      </c>
      <c r="F13" s="16">
        <v>38</v>
      </c>
      <c r="G13" s="16">
        <v>38</v>
      </c>
      <c r="H13" s="16">
        <v>2121</v>
      </c>
      <c r="I13" s="16">
        <v>7834</v>
      </c>
      <c r="J13" s="16">
        <v>38.77</v>
      </c>
      <c r="K13" s="16">
        <v>2.07</v>
      </c>
      <c r="L13" s="16">
        <v>396</v>
      </c>
      <c r="M13" s="16">
        <v>1</v>
      </c>
      <c r="N13" s="16" t="s">
        <v>66</v>
      </c>
      <c r="O13" s="16" t="s">
        <v>50</v>
      </c>
    </row>
    <row r="14" spans="1:15" x14ac:dyDescent="0.25">
      <c r="A14" s="16" t="s">
        <v>67</v>
      </c>
      <c r="B14" s="16">
        <v>22.4</v>
      </c>
      <c r="C14" s="16">
        <v>30.26</v>
      </c>
      <c r="D14" s="16">
        <v>2138</v>
      </c>
      <c r="E14" s="16">
        <v>390</v>
      </c>
      <c r="F14" s="16">
        <v>38</v>
      </c>
      <c r="G14" s="16">
        <v>38</v>
      </c>
      <c r="H14" s="16">
        <v>2392</v>
      </c>
      <c r="I14" s="16">
        <v>8618</v>
      </c>
      <c r="J14" s="16">
        <v>42.06</v>
      </c>
      <c r="K14" s="16">
        <v>2.71</v>
      </c>
      <c r="L14" s="16">
        <v>435</v>
      </c>
      <c r="M14" s="16">
        <v>1</v>
      </c>
      <c r="N14" s="16" t="s">
        <v>68</v>
      </c>
      <c r="O14" s="16" t="s">
        <v>50</v>
      </c>
    </row>
    <row r="15" spans="1:15" x14ac:dyDescent="0.25">
      <c r="A15" s="16" t="s">
        <v>69</v>
      </c>
      <c r="B15" s="16">
        <v>24.4</v>
      </c>
      <c r="C15" s="16">
        <v>30.53</v>
      </c>
      <c r="D15" s="16">
        <v>2254</v>
      </c>
      <c r="E15" s="16">
        <v>302</v>
      </c>
      <c r="F15" s="16">
        <v>38</v>
      </c>
      <c r="G15" s="16">
        <v>38</v>
      </c>
      <c r="H15" s="16">
        <v>2598</v>
      </c>
      <c r="I15" s="16">
        <v>9289</v>
      </c>
      <c r="J15" s="16">
        <v>45.05</v>
      </c>
      <c r="K15" s="16">
        <v>2.47</v>
      </c>
      <c r="L15" s="16">
        <v>474</v>
      </c>
      <c r="M15" s="16">
        <v>1</v>
      </c>
      <c r="N15" s="16" t="s">
        <v>58</v>
      </c>
      <c r="O15" s="16" t="s">
        <v>50</v>
      </c>
    </row>
    <row r="16" spans="1:15" x14ac:dyDescent="0.25">
      <c r="A16" s="16" t="s">
        <v>70</v>
      </c>
      <c r="B16" s="16">
        <v>26.5</v>
      </c>
      <c r="C16" s="16">
        <v>30.36</v>
      </c>
      <c r="D16" s="16">
        <v>2164</v>
      </c>
      <c r="E16" s="16">
        <v>401</v>
      </c>
      <c r="F16" s="16">
        <v>38</v>
      </c>
      <c r="G16" s="16">
        <v>38</v>
      </c>
      <c r="H16" s="16">
        <v>2787</v>
      </c>
      <c r="I16" s="16">
        <v>10068</v>
      </c>
      <c r="J16" s="16">
        <v>47.72</v>
      </c>
      <c r="K16" s="16">
        <v>2.17</v>
      </c>
      <c r="L16" s="16">
        <v>513</v>
      </c>
      <c r="M16" s="16">
        <v>1</v>
      </c>
      <c r="N16" s="16" t="s">
        <v>68</v>
      </c>
      <c r="O16" s="16" t="s">
        <v>50</v>
      </c>
    </row>
    <row r="17" spans="1:15" x14ac:dyDescent="0.25">
      <c r="A17" s="16" t="s">
        <v>71</v>
      </c>
      <c r="B17" s="16">
        <v>28.5</v>
      </c>
      <c r="C17" s="16">
        <v>30.61</v>
      </c>
      <c r="D17" s="16">
        <v>2172</v>
      </c>
      <c r="E17" s="16">
        <v>296</v>
      </c>
      <c r="F17" s="16">
        <v>38</v>
      </c>
      <c r="G17" s="16">
        <v>38</v>
      </c>
      <c r="H17" s="16">
        <v>3018</v>
      </c>
      <c r="I17" s="16">
        <v>10832</v>
      </c>
      <c r="J17" s="16">
        <v>50.73</v>
      </c>
      <c r="K17" s="16">
        <v>2.45</v>
      </c>
      <c r="L17" s="16">
        <v>552</v>
      </c>
      <c r="M17" s="16">
        <v>1</v>
      </c>
      <c r="N17" s="16" t="s">
        <v>58</v>
      </c>
      <c r="O17" s="16" t="s">
        <v>50</v>
      </c>
    </row>
    <row r="18" spans="1:15" x14ac:dyDescent="0.25">
      <c r="A18" s="16" t="s">
        <v>72</v>
      </c>
      <c r="B18" s="16">
        <v>30.6</v>
      </c>
      <c r="C18" s="16">
        <v>30.73</v>
      </c>
      <c r="D18" s="16">
        <v>2163</v>
      </c>
      <c r="E18" s="16">
        <v>277</v>
      </c>
      <c r="F18" s="16">
        <v>38</v>
      </c>
      <c r="G18" s="16">
        <v>38</v>
      </c>
      <c r="H18" s="16">
        <v>3196</v>
      </c>
      <c r="I18" s="16">
        <v>11649</v>
      </c>
      <c r="J18" s="16">
        <v>54.15</v>
      </c>
      <c r="K18" s="16">
        <v>2.81</v>
      </c>
      <c r="L18" s="16">
        <v>591</v>
      </c>
      <c r="M18" s="16">
        <v>1</v>
      </c>
      <c r="N18" s="16" t="s">
        <v>58</v>
      </c>
      <c r="O18" s="16" t="s">
        <v>50</v>
      </c>
    </row>
    <row r="19" spans="1:15" x14ac:dyDescent="0.25">
      <c r="A19" s="16" t="s">
        <v>73</v>
      </c>
      <c r="B19" s="16">
        <v>32.6</v>
      </c>
      <c r="C19" s="16">
        <v>30.08</v>
      </c>
      <c r="D19" s="16">
        <v>1312</v>
      </c>
      <c r="E19" s="16">
        <v>184</v>
      </c>
      <c r="F19" s="16">
        <v>38</v>
      </c>
      <c r="G19" s="16">
        <v>38</v>
      </c>
      <c r="H19" s="16">
        <v>3359</v>
      </c>
      <c r="I19" s="16">
        <v>12326</v>
      </c>
      <c r="J19" s="16">
        <v>55.85</v>
      </c>
      <c r="K19" s="16">
        <v>1.39</v>
      </c>
      <c r="L19" s="16">
        <v>630</v>
      </c>
      <c r="M19" s="16">
        <v>1</v>
      </c>
      <c r="N19" s="16" t="s">
        <v>74</v>
      </c>
      <c r="O19" s="16" t="s">
        <v>50</v>
      </c>
    </row>
    <row r="20" spans="1:15" x14ac:dyDescent="0.25">
      <c r="A20" s="16" t="s">
        <v>75</v>
      </c>
      <c r="B20" s="16">
        <v>34.6</v>
      </c>
      <c r="C20" s="16">
        <v>30.37</v>
      </c>
      <c r="D20" s="16">
        <v>1447</v>
      </c>
      <c r="E20" s="16">
        <v>255</v>
      </c>
      <c r="F20" s="16">
        <v>38</v>
      </c>
      <c r="G20" s="16">
        <v>38</v>
      </c>
      <c r="H20" s="16">
        <v>3495</v>
      </c>
      <c r="I20" s="16">
        <v>13044</v>
      </c>
      <c r="J20" s="16">
        <v>57.8</v>
      </c>
      <c r="K20" s="16">
        <v>1.61</v>
      </c>
      <c r="L20" s="16">
        <v>670</v>
      </c>
      <c r="M20" s="16">
        <v>1</v>
      </c>
      <c r="N20" s="16" t="s">
        <v>76</v>
      </c>
      <c r="O20" s="16" t="s">
        <v>50</v>
      </c>
    </row>
    <row r="21" spans="1:15" x14ac:dyDescent="0.25">
      <c r="A21" s="16" t="s">
        <v>77</v>
      </c>
      <c r="B21" s="16">
        <v>36.7</v>
      </c>
      <c r="C21" s="16">
        <v>30.02</v>
      </c>
      <c r="D21" s="16">
        <v>1316</v>
      </c>
      <c r="E21" s="16">
        <v>178</v>
      </c>
      <c r="F21" s="16">
        <v>38</v>
      </c>
      <c r="G21" s="16">
        <v>38</v>
      </c>
      <c r="H21" s="16">
        <v>3686</v>
      </c>
      <c r="I21" s="16">
        <v>13861</v>
      </c>
      <c r="J21" s="16">
        <v>59.71</v>
      </c>
      <c r="K21" s="16">
        <v>1.57</v>
      </c>
      <c r="L21" s="16">
        <v>709</v>
      </c>
      <c r="M21" s="16">
        <v>1</v>
      </c>
      <c r="N21" s="16" t="s">
        <v>78</v>
      </c>
      <c r="O21" s="16" t="s">
        <v>50</v>
      </c>
    </row>
    <row r="22" spans="1:15" x14ac:dyDescent="0.25">
      <c r="A22" s="16" t="s">
        <v>79</v>
      </c>
      <c r="B22" s="16">
        <v>38.7</v>
      </c>
      <c r="C22" s="16">
        <v>31.21</v>
      </c>
      <c r="D22" s="16">
        <v>1514</v>
      </c>
      <c r="E22" s="16">
        <v>254</v>
      </c>
      <c r="F22" s="16">
        <v>38</v>
      </c>
      <c r="G22" s="16">
        <v>38</v>
      </c>
      <c r="H22" s="16">
        <v>3951</v>
      </c>
      <c r="I22" s="16">
        <v>14722</v>
      </c>
      <c r="J22" s="16">
        <v>64.76</v>
      </c>
      <c r="K22" s="16">
        <v>4.12</v>
      </c>
      <c r="L22" s="16">
        <v>749</v>
      </c>
      <c r="M22" s="16">
        <v>1</v>
      </c>
      <c r="N22" s="16" t="s">
        <v>47</v>
      </c>
      <c r="O22" s="16" t="s">
        <v>50</v>
      </c>
    </row>
    <row r="23" spans="1:15" x14ac:dyDescent="0.25">
      <c r="A23" s="16" t="s">
        <v>80</v>
      </c>
      <c r="B23" s="16">
        <v>40.7</v>
      </c>
      <c r="C23" s="16">
        <v>31.11</v>
      </c>
      <c r="D23" s="16">
        <v>1486</v>
      </c>
      <c r="E23" s="16">
        <v>250</v>
      </c>
      <c r="F23" s="16">
        <v>38</v>
      </c>
      <c r="G23" s="16">
        <v>38</v>
      </c>
      <c r="H23" s="16">
        <v>4191</v>
      </c>
      <c r="I23" s="16">
        <v>15415</v>
      </c>
      <c r="J23" s="16">
        <v>69.63</v>
      </c>
      <c r="K23" s="16">
        <v>3.98</v>
      </c>
      <c r="L23" s="16">
        <v>788</v>
      </c>
      <c r="M23" s="16">
        <v>1</v>
      </c>
      <c r="N23" s="16" t="s">
        <v>47</v>
      </c>
      <c r="O23" s="16" t="s">
        <v>50</v>
      </c>
    </row>
    <row r="24" spans="1:15" x14ac:dyDescent="0.25">
      <c r="A24" s="16" t="s">
        <v>81</v>
      </c>
      <c r="B24" s="16">
        <v>42.8</v>
      </c>
      <c r="C24" s="16">
        <v>30.86</v>
      </c>
      <c r="D24" s="16">
        <v>2114</v>
      </c>
      <c r="E24" s="16">
        <v>329</v>
      </c>
      <c r="F24" s="16">
        <v>38</v>
      </c>
      <c r="G24" s="16">
        <v>38</v>
      </c>
      <c r="H24" s="16">
        <v>4373</v>
      </c>
      <c r="I24" s="16">
        <v>16059</v>
      </c>
      <c r="J24" s="16">
        <v>72.05</v>
      </c>
      <c r="K24" s="16">
        <v>1.98</v>
      </c>
      <c r="L24" s="16">
        <v>828</v>
      </c>
      <c r="M24" s="16">
        <v>1</v>
      </c>
      <c r="N24" s="16" t="s">
        <v>82</v>
      </c>
      <c r="O24" s="16" t="s">
        <v>50</v>
      </c>
    </row>
    <row r="25" spans="1:15" x14ac:dyDescent="0.25">
      <c r="A25" s="16" t="s">
        <v>83</v>
      </c>
      <c r="B25" s="16">
        <v>44.8</v>
      </c>
      <c r="C25" s="16">
        <v>30.99</v>
      </c>
      <c r="D25" s="16">
        <v>2141</v>
      </c>
      <c r="E25" s="16">
        <v>272</v>
      </c>
      <c r="F25" s="16">
        <v>38</v>
      </c>
      <c r="G25" s="16">
        <v>38</v>
      </c>
      <c r="H25" s="16">
        <v>4614</v>
      </c>
      <c r="I25" s="16">
        <v>16838</v>
      </c>
      <c r="J25" s="16">
        <v>76.63</v>
      </c>
      <c r="K25" s="16">
        <v>3.74</v>
      </c>
      <c r="L25" s="16">
        <v>867</v>
      </c>
      <c r="M25" s="16">
        <v>1</v>
      </c>
      <c r="N25" s="16" t="s">
        <v>58</v>
      </c>
      <c r="O25" s="16" t="s">
        <v>50</v>
      </c>
    </row>
    <row r="26" spans="1:15" x14ac:dyDescent="0.25">
      <c r="A26" s="16" t="s">
        <v>84</v>
      </c>
      <c r="B26" s="16">
        <v>46.8</v>
      </c>
      <c r="C26" s="16">
        <v>30.88</v>
      </c>
      <c r="D26" s="16">
        <v>2108</v>
      </c>
      <c r="E26" s="16">
        <v>262</v>
      </c>
      <c r="F26" s="16">
        <v>38</v>
      </c>
      <c r="G26" s="16">
        <v>38</v>
      </c>
      <c r="H26" s="16">
        <v>4783</v>
      </c>
      <c r="I26" s="16">
        <v>17512</v>
      </c>
      <c r="J26" s="16">
        <v>79.14</v>
      </c>
      <c r="K26" s="16">
        <v>2.07</v>
      </c>
      <c r="L26" s="16">
        <v>907</v>
      </c>
      <c r="M26" s="16">
        <v>1</v>
      </c>
      <c r="N26" s="16" t="s">
        <v>58</v>
      </c>
      <c r="O26" s="16" t="s">
        <v>50</v>
      </c>
    </row>
    <row r="27" spans="1:15" x14ac:dyDescent="0.25">
      <c r="A27" s="16" t="s">
        <v>85</v>
      </c>
      <c r="B27" s="16">
        <v>48.9</v>
      </c>
      <c r="C27" s="16">
        <v>30.58</v>
      </c>
      <c r="D27" s="16">
        <v>1618</v>
      </c>
      <c r="E27" s="16">
        <v>262</v>
      </c>
      <c r="F27" s="16">
        <v>38</v>
      </c>
      <c r="G27" s="16">
        <v>38</v>
      </c>
      <c r="H27" s="16">
        <v>5021</v>
      </c>
      <c r="I27" s="16">
        <v>18273</v>
      </c>
      <c r="J27" s="16">
        <v>82.79</v>
      </c>
      <c r="K27" s="16">
        <v>2.98</v>
      </c>
      <c r="L27" s="16">
        <v>946</v>
      </c>
      <c r="M27" s="16">
        <v>1</v>
      </c>
      <c r="N27" s="16" t="s">
        <v>58</v>
      </c>
      <c r="O27" s="16" t="s">
        <v>50</v>
      </c>
    </row>
    <row r="28" spans="1:15" x14ac:dyDescent="0.25">
      <c r="A28" s="16" t="s">
        <v>86</v>
      </c>
      <c r="B28" s="16">
        <v>50.9</v>
      </c>
      <c r="C28" s="16">
        <v>30.97</v>
      </c>
      <c r="D28" s="16">
        <v>2110</v>
      </c>
      <c r="E28" s="16">
        <v>382</v>
      </c>
      <c r="F28" s="16">
        <v>38</v>
      </c>
      <c r="G28" s="16">
        <v>38</v>
      </c>
      <c r="H28" s="16">
        <v>5227</v>
      </c>
      <c r="I28" s="16">
        <v>19072</v>
      </c>
      <c r="J28" s="16">
        <v>85.16</v>
      </c>
      <c r="K28" s="16">
        <v>1.96</v>
      </c>
      <c r="L28" s="16">
        <v>985</v>
      </c>
      <c r="M28" s="16">
        <v>1</v>
      </c>
      <c r="N28" s="16" t="s">
        <v>87</v>
      </c>
      <c r="O28" s="16" t="s">
        <v>50</v>
      </c>
    </row>
    <row r="29" spans="1:15" x14ac:dyDescent="0.25">
      <c r="A29" s="16" t="s">
        <v>88</v>
      </c>
      <c r="B29" s="16">
        <v>52.9</v>
      </c>
      <c r="C29" s="16">
        <v>30.54</v>
      </c>
      <c r="D29" s="16">
        <v>1436</v>
      </c>
      <c r="E29" s="16">
        <v>194</v>
      </c>
      <c r="F29" s="16">
        <v>38</v>
      </c>
      <c r="G29" s="16">
        <v>38</v>
      </c>
      <c r="H29" s="16">
        <v>5413</v>
      </c>
      <c r="I29" s="16">
        <v>19808</v>
      </c>
      <c r="J29" s="16">
        <v>87.24</v>
      </c>
      <c r="K29" s="16">
        <v>1.71</v>
      </c>
      <c r="L29" s="16">
        <v>1024</v>
      </c>
      <c r="M29" s="16">
        <v>1</v>
      </c>
      <c r="N29" s="16" t="s">
        <v>56</v>
      </c>
      <c r="O29" s="16" t="s">
        <v>50</v>
      </c>
    </row>
    <row r="30" spans="1:15" x14ac:dyDescent="0.25">
      <c r="A30" s="16" t="s">
        <v>89</v>
      </c>
      <c r="B30" s="16">
        <v>55</v>
      </c>
      <c r="C30" s="16">
        <v>32.4</v>
      </c>
      <c r="D30" s="16">
        <v>2310</v>
      </c>
      <c r="E30" s="16">
        <v>423</v>
      </c>
      <c r="F30" s="16">
        <v>38</v>
      </c>
      <c r="G30" s="16">
        <v>38</v>
      </c>
      <c r="H30" s="16">
        <v>5642</v>
      </c>
      <c r="I30" s="16">
        <v>20539</v>
      </c>
      <c r="J30" s="16">
        <v>90.29</v>
      </c>
      <c r="K30" s="16">
        <v>2.51</v>
      </c>
      <c r="L30" s="16">
        <v>1064</v>
      </c>
      <c r="M30" s="16">
        <v>1</v>
      </c>
      <c r="N30" s="16" t="s">
        <v>90</v>
      </c>
      <c r="O30" s="16" t="s">
        <v>50</v>
      </c>
    </row>
    <row r="31" spans="1:15" x14ac:dyDescent="0.25">
      <c r="A31" s="16" t="s">
        <v>91</v>
      </c>
      <c r="B31" s="16">
        <v>57</v>
      </c>
      <c r="C31" s="16">
        <v>31.06</v>
      </c>
      <c r="D31" s="16">
        <v>2225</v>
      </c>
      <c r="E31" s="16">
        <v>415</v>
      </c>
      <c r="F31" s="16">
        <v>38</v>
      </c>
      <c r="G31" s="16">
        <v>38</v>
      </c>
      <c r="H31" s="16">
        <v>5837</v>
      </c>
      <c r="I31" s="16">
        <v>21129</v>
      </c>
      <c r="J31" s="16">
        <v>92.86</v>
      </c>
      <c r="K31" s="16">
        <v>2.1</v>
      </c>
      <c r="L31" s="16">
        <v>1103</v>
      </c>
      <c r="M31" s="16">
        <v>1</v>
      </c>
      <c r="N31" s="16" t="s">
        <v>66</v>
      </c>
      <c r="O31" s="16" t="s">
        <v>50</v>
      </c>
    </row>
    <row r="32" spans="1:15" x14ac:dyDescent="0.25">
      <c r="A32" s="16" t="s">
        <v>92</v>
      </c>
      <c r="B32" s="16">
        <v>59</v>
      </c>
      <c r="C32" s="16">
        <v>31.25</v>
      </c>
      <c r="D32" s="16">
        <v>2132</v>
      </c>
      <c r="E32" s="16">
        <v>415</v>
      </c>
      <c r="F32" s="16">
        <v>38</v>
      </c>
      <c r="G32" s="16">
        <v>38</v>
      </c>
      <c r="H32" s="16">
        <v>6054</v>
      </c>
      <c r="I32" s="16">
        <v>21776</v>
      </c>
      <c r="J32" s="16">
        <v>95.36</v>
      </c>
      <c r="K32" s="16">
        <v>2.04</v>
      </c>
      <c r="L32" s="16">
        <v>1142</v>
      </c>
      <c r="M32" s="16">
        <v>1</v>
      </c>
      <c r="N32" s="16" t="s">
        <v>93</v>
      </c>
      <c r="O32" s="16" t="s">
        <v>50</v>
      </c>
    </row>
    <row r="33" spans="1:15" x14ac:dyDescent="0.25">
      <c r="A33" s="16" t="s">
        <v>94</v>
      </c>
      <c r="B33" s="16">
        <v>61.1</v>
      </c>
      <c r="C33" s="16">
        <v>30.83</v>
      </c>
      <c r="D33" s="16">
        <v>1467</v>
      </c>
      <c r="E33" s="16">
        <v>210</v>
      </c>
      <c r="F33" s="16">
        <v>38</v>
      </c>
      <c r="G33" s="16">
        <v>38</v>
      </c>
      <c r="H33" s="16">
        <v>6256</v>
      </c>
      <c r="I33" s="16">
        <v>22471</v>
      </c>
      <c r="J33" s="16">
        <v>97.59</v>
      </c>
      <c r="K33" s="16">
        <v>1.83</v>
      </c>
      <c r="L33" s="16">
        <v>1181</v>
      </c>
      <c r="M33" s="16">
        <v>1</v>
      </c>
      <c r="N33" s="16" t="s">
        <v>95</v>
      </c>
      <c r="O33" s="16" t="s">
        <v>50</v>
      </c>
    </row>
    <row r="34" spans="1:15" x14ac:dyDescent="0.25">
      <c r="A34" s="16" t="s">
        <v>96</v>
      </c>
      <c r="B34" s="16">
        <v>63.2</v>
      </c>
      <c r="C34" s="16">
        <v>31.47</v>
      </c>
      <c r="D34" s="16">
        <v>2114</v>
      </c>
      <c r="E34" s="16">
        <v>451</v>
      </c>
      <c r="F34" s="16">
        <v>38</v>
      </c>
      <c r="G34" s="16">
        <v>38</v>
      </c>
      <c r="H34" s="16">
        <v>6423</v>
      </c>
      <c r="I34" s="16">
        <v>23177</v>
      </c>
      <c r="J34" s="16">
        <v>104.13</v>
      </c>
      <c r="K34" s="16">
        <v>5.17</v>
      </c>
      <c r="L34" s="16">
        <v>1221</v>
      </c>
      <c r="M34" s="16">
        <v>1</v>
      </c>
      <c r="N34" s="16" t="s">
        <v>54</v>
      </c>
      <c r="O34" s="16" t="s">
        <v>50</v>
      </c>
    </row>
    <row r="35" spans="1:15" x14ac:dyDescent="0.25">
      <c r="A35" s="16" t="s">
        <v>97</v>
      </c>
      <c r="B35" s="16">
        <v>65.2</v>
      </c>
      <c r="C35" s="16">
        <v>31.51</v>
      </c>
      <c r="D35" s="16">
        <v>2072</v>
      </c>
      <c r="E35" s="16">
        <v>373</v>
      </c>
      <c r="F35" s="16">
        <v>38</v>
      </c>
      <c r="G35" s="16">
        <v>38</v>
      </c>
      <c r="H35" s="16">
        <v>6579</v>
      </c>
      <c r="I35" s="16">
        <v>23937</v>
      </c>
      <c r="J35" s="16">
        <v>106.69</v>
      </c>
      <c r="K35" s="16">
        <v>2.08</v>
      </c>
      <c r="L35" s="16">
        <v>1260</v>
      </c>
      <c r="M35" s="16">
        <v>1</v>
      </c>
      <c r="N35" s="16" t="s">
        <v>87</v>
      </c>
      <c r="O35" s="16" t="s">
        <v>50</v>
      </c>
    </row>
    <row r="36" spans="1:15" x14ac:dyDescent="0.25">
      <c r="A36" s="16" t="s">
        <v>98</v>
      </c>
      <c r="B36" s="16">
        <v>67.2</v>
      </c>
      <c r="C36" s="16">
        <v>31.37</v>
      </c>
      <c r="D36" s="16">
        <v>2125</v>
      </c>
      <c r="E36" s="16">
        <v>272</v>
      </c>
      <c r="F36" s="16">
        <v>38</v>
      </c>
      <c r="G36" s="16">
        <v>38</v>
      </c>
      <c r="H36" s="16">
        <v>6660</v>
      </c>
      <c r="I36" s="16">
        <v>24592</v>
      </c>
      <c r="J36" s="16">
        <v>108.43</v>
      </c>
      <c r="K36" s="16">
        <v>1.43</v>
      </c>
      <c r="L36" s="16">
        <v>1299</v>
      </c>
      <c r="M36" s="16">
        <v>1</v>
      </c>
      <c r="N36" s="16" t="s">
        <v>58</v>
      </c>
      <c r="O36" s="16" t="s">
        <v>50</v>
      </c>
    </row>
    <row r="37" spans="1:15" x14ac:dyDescent="0.25">
      <c r="A37" s="16" t="s">
        <v>99</v>
      </c>
      <c r="B37" s="16">
        <v>69.3</v>
      </c>
      <c r="C37" s="16">
        <v>31.65</v>
      </c>
      <c r="D37" s="16">
        <v>2270</v>
      </c>
      <c r="E37" s="16">
        <v>375</v>
      </c>
      <c r="F37" s="16">
        <v>38</v>
      </c>
      <c r="G37" s="16">
        <v>38</v>
      </c>
      <c r="H37" s="16">
        <v>6886</v>
      </c>
      <c r="I37" s="16">
        <v>25353</v>
      </c>
      <c r="J37" s="16">
        <v>111.6</v>
      </c>
      <c r="K37" s="16">
        <v>2.58</v>
      </c>
      <c r="L37" s="16">
        <v>1338</v>
      </c>
      <c r="M37" s="16">
        <v>1</v>
      </c>
      <c r="N37" s="16" t="s">
        <v>100</v>
      </c>
      <c r="O37" s="16" t="s">
        <v>50</v>
      </c>
    </row>
    <row r="38" spans="1:15" x14ac:dyDescent="0.25">
      <c r="A38" s="16" t="s">
        <v>101</v>
      </c>
      <c r="B38" s="16">
        <v>71.3</v>
      </c>
      <c r="C38" s="16">
        <v>31.61</v>
      </c>
      <c r="D38" s="16">
        <v>2140</v>
      </c>
      <c r="E38" s="16">
        <v>332</v>
      </c>
      <c r="F38" s="16">
        <v>38</v>
      </c>
      <c r="G38" s="16">
        <v>38</v>
      </c>
      <c r="H38" s="16">
        <v>7177</v>
      </c>
      <c r="I38" s="16">
        <v>26152</v>
      </c>
      <c r="J38" s="16">
        <v>114.57</v>
      </c>
      <c r="K38" s="16">
        <v>2.45</v>
      </c>
      <c r="L38" s="16">
        <v>1377</v>
      </c>
      <c r="M38" s="16">
        <v>1</v>
      </c>
      <c r="N38" s="16" t="s">
        <v>82</v>
      </c>
      <c r="O38" s="16" t="s">
        <v>50</v>
      </c>
    </row>
    <row r="39" spans="1:15" x14ac:dyDescent="0.25">
      <c r="A39" s="16" t="s">
        <v>102</v>
      </c>
      <c r="B39" s="16">
        <v>73.3</v>
      </c>
      <c r="C39" s="16">
        <v>31.02</v>
      </c>
      <c r="D39" s="16">
        <v>1380</v>
      </c>
      <c r="E39" s="16">
        <v>180</v>
      </c>
      <c r="F39" s="16">
        <v>38</v>
      </c>
      <c r="G39" s="16">
        <v>38</v>
      </c>
      <c r="H39" s="16">
        <v>7285</v>
      </c>
      <c r="I39" s="16">
        <v>26991</v>
      </c>
      <c r="J39" s="16">
        <v>116.46</v>
      </c>
      <c r="K39" s="16">
        <v>1.55</v>
      </c>
      <c r="L39" s="16">
        <v>1416</v>
      </c>
      <c r="M39" s="16">
        <v>1</v>
      </c>
      <c r="N39" s="16" t="s">
        <v>103</v>
      </c>
      <c r="O39" s="16" t="s">
        <v>50</v>
      </c>
    </row>
    <row r="40" spans="1:15" x14ac:dyDescent="0.25">
      <c r="A40" s="16" t="s">
        <v>104</v>
      </c>
      <c r="B40" s="16">
        <v>75.4</v>
      </c>
      <c r="C40" s="16">
        <v>31.61</v>
      </c>
      <c r="D40" s="16">
        <v>1970</v>
      </c>
      <c r="E40" s="16">
        <v>365</v>
      </c>
      <c r="F40" s="16">
        <v>38</v>
      </c>
      <c r="G40" s="16">
        <v>38</v>
      </c>
      <c r="H40" s="16">
        <v>7467</v>
      </c>
      <c r="I40" s="16">
        <v>27765</v>
      </c>
      <c r="J40" s="16">
        <v>118.91</v>
      </c>
      <c r="K40" s="16">
        <v>2.02</v>
      </c>
      <c r="L40" s="16">
        <v>1455</v>
      </c>
      <c r="M40" s="16">
        <v>1</v>
      </c>
      <c r="N40" s="16" t="s">
        <v>100</v>
      </c>
      <c r="O40" s="16" t="s">
        <v>50</v>
      </c>
    </row>
    <row r="41" spans="1:15" x14ac:dyDescent="0.25">
      <c r="A41" s="16" t="s">
        <v>105</v>
      </c>
      <c r="B41" s="16">
        <v>77.4</v>
      </c>
      <c r="C41" s="16">
        <v>32.5</v>
      </c>
      <c r="D41" s="16">
        <v>2118</v>
      </c>
      <c r="E41" s="16">
        <v>463</v>
      </c>
      <c r="F41" s="16">
        <v>38</v>
      </c>
      <c r="G41" s="16">
        <v>38</v>
      </c>
      <c r="H41" s="16">
        <v>7691</v>
      </c>
      <c r="I41" s="16">
        <v>28407</v>
      </c>
      <c r="J41" s="16">
        <v>121.95</v>
      </c>
      <c r="K41" s="16">
        <v>2.47</v>
      </c>
      <c r="L41" s="16">
        <v>1495</v>
      </c>
      <c r="M41" s="16">
        <v>1</v>
      </c>
      <c r="N41" s="16" t="s">
        <v>54</v>
      </c>
      <c r="O41" s="16" t="s">
        <v>50</v>
      </c>
    </row>
    <row r="42" spans="1:15" x14ac:dyDescent="0.25">
      <c r="A42" s="16" t="s">
        <v>106</v>
      </c>
      <c r="B42" s="16">
        <v>79.4</v>
      </c>
      <c r="C42" s="16">
        <v>32.04</v>
      </c>
      <c r="D42" s="16">
        <v>2151</v>
      </c>
      <c r="E42" s="16">
        <v>278</v>
      </c>
      <c r="F42" s="16">
        <v>38</v>
      </c>
      <c r="G42" s="16">
        <v>38</v>
      </c>
      <c r="H42" s="16">
        <v>7891</v>
      </c>
      <c r="I42" s="16">
        <v>29290</v>
      </c>
      <c r="J42" s="16">
        <v>124.16</v>
      </c>
      <c r="K42" s="16">
        <v>1.82</v>
      </c>
      <c r="L42" s="16">
        <v>1534</v>
      </c>
      <c r="M42" s="16">
        <v>1</v>
      </c>
      <c r="N42" s="16" t="s">
        <v>58</v>
      </c>
      <c r="O42" s="16" t="s">
        <v>50</v>
      </c>
    </row>
    <row r="43" spans="1:15" x14ac:dyDescent="0.25">
      <c r="A43" s="16" t="s">
        <v>107</v>
      </c>
      <c r="B43" s="16">
        <v>81.5</v>
      </c>
      <c r="C43" s="16">
        <v>31.89</v>
      </c>
      <c r="D43" s="16">
        <v>1897</v>
      </c>
      <c r="E43" s="16">
        <v>389</v>
      </c>
      <c r="F43" s="16">
        <v>38</v>
      </c>
      <c r="G43" s="16">
        <v>38</v>
      </c>
      <c r="H43" s="16">
        <v>8053</v>
      </c>
      <c r="I43" s="16">
        <v>30034</v>
      </c>
      <c r="J43" s="16">
        <v>127.08</v>
      </c>
      <c r="K43" s="16">
        <v>2.38</v>
      </c>
      <c r="L43" s="16">
        <v>1573</v>
      </c>
      <c r="M43" s="16">
        <v>1</v>
      </c>
      <c r="N43" s="16" t="s">
        <v>52</v>
      </c>
      <c r="O43" s="16" t="s">
        <v>50</v>
      </c>
    </row>
    <row r="44" spans="1:15" x14ac:dyDescent="0.25">
      <c r="A44" s="16" t="s">
        <v>108</v>
      </c>
      <c r="B44" s="16">
        <v>83.5</v>
      </c>
      <c r="C44" s="16">
        <v>32.11</v>
      </c>
      <c r="D44" s="16">
        <v>2551</v>
      </c>
      <c r="E44" s="16">
        <v>528</v>
      </c>
      <c r="F44" s="16">
        <v>38</v>
      </c>
      <c r="G44" s="16">
        <v>38</v>
      </c>
      <c r="H44" s="16">
        <v>8233</v>
      </c>
      <c r="I44" s="16">
        <v>30587</v>
      </c>
      <c r="J44" s="16">
        <v>129.13</v>
      </c>
      <c r="K44" s="16">
        <v>1.67</v>
      </c>
      <c r="L44" s="16">
        <v>1611</v>
      </c>
      <c r="M44" s="16">
        <v>1</v>
      </c>
      <c r="N44" s="16" t="s">
        <v>109</v>
      </c>
      <c r="O44" s="16" t="s">
        <v>50</v>
      </c>
    </row>
    <row r="45" spans="1:15" x14ac:dyDescent="0.25">
      <c r="A45" s="16" t="s">
        <v>110</v>
      </c>
      <c r="B45" s="16">
        <v>85.6</v>
      </c>
      <c r="C45" s="16">
        <v>31.84</v>
      </c>
      <c r="D45" s="16">
        <v>1983</v>
      </c>
      <c r="E45" s="16">
        <v>345</v>
      </c>
      <c r="F45" s="16">
        <v>38</v>
      </c>
      <c r="G45" s="16">
        <v>38</v>
      </c>
      <c r="H45" s="16">
        <v>8408</v>
      </c>
      <c r="I45" s="16">
        <v>31172</v>
      </c>
      <c r="J45" s="16">
        <v>130.87</v>
      </c>
      <c r="K45" s="16">
        <v>1.44</v>
      </c>
      <c r="L45" s="16">
        <v>1650</v>
      </c>
      <c r="M45" s="16">
        <v>1</v>
      </c>
      <c r="N45" s="16" t="s">
        <v>62</v>
      </c>
      <c r="O45" s="16" t="s">
        <v>50</v>
      </c>
    </row>
    <row r="46" spans="1:15" x14ac:dyDescent="0.25">
      <c r="A46" s="16" t="s">
        <v>111</v>
      </c>
      <c r="B46" s="16">
        <v>87.6</v>
      </c>
      <c r="C46" s="16">
        <v>31.95</v>
      </c>
      <c r="D46" s="16">
        <v>1464</v>
      </c>
      <c r="E46" s="16">
        <v>236</v>
      </c>
      <c r="F46" s="16">
        <v>38</v>
      </c>
      <c r="G46" s="16">
        <v>38</v>
      </c>
      <c r="H46" s="16">
        <v>8707</v>
      </c>
      <c r="I46" s="16">
        <v>31984</v>
      </c>
      <c r="J46" s="16">
        <v>134.37</v>
      </c>
      <c r="K46" s="16">
        <v>2.84</v>
      </c>
      <c r="L46" s="16">
        <v>1689</v>
      </c>
      <c r="M46" s="16">
        <v>1</v>
      </c>
      <c r="N46" s="16" t="s">
        <v>47</v>
      </c>
      <c r="O46" s="16" t="s">
        <v>50</v>
      </c>
    </row>
    <row r="47" spans="1:15" x14ac:dyDescent="0.25">
      <c r="A47" s="16" t="s">
        <v>112</v>
      </c>
      <c r="B47" s="16">
        <v>89.6</v>
      </c>
      <c r="C47" s="16">
        <v>31.84</v>
      </c>
      <c r="D47" s="16">
        <v>2092</v>
      </c>
      <c r="E47" s="16">
        <v>397</v>
      </c>
      <c r="F47" s="16">
        <v>38</v>
      </c>
      <c r="G47" s="16">
        <v>38</v>
      </c>
      <c r="H47" s="16">
        <v>8962</v>
      </c>
      <c r="I47" s="16">
        <v>32754</v>
      </c>
      <c r="J47" s="16">
        <v>136.87</v>
      </c>
      <c r="K47" s="16">
        <v>2.07</v>
      </c>
      <c r="L47" s="16">
        <v>1728</v>
      </c>
      <c r="M47" s="16">
        <v>1</v>
      </c>
      <c r="N47" s="16" t="s">
        <v>93</v>
      </c>
      <c r="O47" s="16" t="s">
        <v>50</v>
      </c>
    </row>
    <row r="48" spans="1:15" x14ac:dyDescent="0.25">
      <c r="A48" s="16" t="s">
        <v>113</v>
      </c>
      <c r="B48" s="16">
        <v>91.7</v>
      </c>
      <c r="C48" s="16">
        <v>31.8</v>
      </c>
      <c r="D48" s="16">
        <v>2107</v>
      </c>
      <c r="E48" s="16">
        <v>262</v>
      </c>
      <c r="F48" s="16">
        <v>38</v>
      </c>
      <c r="G48" s="16">
        <v>38</v>
      </c>
      <c r="H48" s="16">
        <v>9215</v>
      </c>
      <c r="I48" s="16">
        <v>33583</v>
      </c>
      <c r="J48" s="16">
        <v>140.4</v>
      </c>
      <c r="K48" s="16">
        <v>2.86</v>
      </c>
      <c r="L48" s="16">
        <v>1767</v>
      </c>
      <c r="M48" s="16">
        <v>1</v>
      </c>
      <c r="N48" s="16" t="s">
        <v>58</v>
      </c>
      <c r="O48" s="16" t="s">
        <v>50</v>
      </c>
    </row>
    <row r="49" spans="1:15" x14ac:dyDescent="0.25">
      <c r="A49" s="16" t="s">
        <v>114</v>
      </c>
      <c r="B49" s="16">
        <v>93.7</v>
      </c>
      <c r="C49" s="16">
        <v>32.51</v>
      </c>
      <c r="D49" s="16">
        <v>2474</v>
      </c>
      <c r="E49" s="16">
        <v>456</v>
      </c>
      <c r="F49" s="16">
        <v>38</v>
      </c>
      <c r="G49" s="16">
        <v>38</v>
      </c>
      <c r="H49" s="16">
        <v>9327</v>
      </c>
      <c r="I49" s="16">
        <v>33899</v>
      </c>
      <c r="J49" s="16">
        <v>141.97</v>
      </c>
      <c r="K49" s="16">
        <v>1.28</v>
      </c>
      <c r="L49" s="16">
        <v>1806</v>
      </c>
      <c r="M49" s="16">
        <v>1</v>
      </c>
      <c r="N49" s="16" t="s">
        <v>87</v>
      </c>
      <c r="O49" s="16" t="s">
        <v>50</v>
      </c>
    </row>
    <row r="50" spans="1:15" x14ac:dyDescent="0.25">
      <c r="A50" s="16" t="s">
        <v>115</v>
      </c>
      <c r="B50" s="16">
        <v>95.8</v>
      </c>
      <c r="C50" s="16">
        <v>32.28</v>
      </c>
      <c r="D50" s="16">
        <v>1464</v>
      </c>
      <c r="E50" s="16">
        <v>236</v>
      </c>
      <c r="F50" s="16">
        <v>38</v>
      </c>
      <c r="G50" s="16">
        <v>38</v>
      </c>
      <c r="H50" s="16">
        <v>9608</v>
      </c>
      <c r="I50" s="16">
        <v>34585</v>
      </c>
      <c r="J50" s="16">
        <v>146.44</v>
      </c>
      <c r="K50" s="16">
        <v>3.65</v>
      </c>
      <c r="L50" s="16">
        <v>1845</v>
      </c>
      <c r="M50" s="16">
        <v>1</v>
      </c>
      <c r="N50" s="16" t="s">
        <v>47</v>
      </c>
      <c r="O50" s="16" t="s">
        <v>50</v>
      </c>
    </row>
    <row r="51" spans="1:15" x14ac:dyDescent="0.25">
      <c r="A51" s="16" t="s">
        <v>116</v>
      </c>
      <c r="B51" s="16">
        <v>97.8</v>
      </c>
      <c r="C51" s="16">
        <v>32.04</v>
      </c>
      <c r="D51" s="16">
        <v>2065</v>
      </c>
      <c r="E51" s="16">
        <v>431</v>
      </c>
      <c r="F51" s="16">
        <v>38</v>
      </c>
      <c r="G51" s="16">
        <v>38</v>
      </c>
      <c r="H51" s="16">
        <v>9817</v>
      </c>
      <c r="I51" s="16">
        <v>35279</v>
      </c>
      <c r="J51" s="16">
        <v>150.17</v>
      </c>
      <c r="K51" s="16">
        <v>3.07</v>
      </c>
      <c r="L51" s="16">
        <v>1884</v>
      </c>
      <c r="M51" s="16">
        <v>1</v>
      </c>
      <c r="N51" s="16" t="s">
        <v>54</v>
      </c>
      <c r="O51" s="16" t="s">
        <v>50</v>
      </c>
    </row>
    <row r="52" spans="1:15" x14ac:dyDescent="0.25">
      <c r="A52" s="16" t="s">
        <v>117</v>
      </c>
      <c r="B52" s="16">
        <v>99.9</v>
      </c>
      <c r="C52" s="16">
        <v>31.98</v>
      </c>
      <c r="D52" s="16">
        <v>2107</v>
      </c>
      <c r="E52" s="16">
        <v>262</v>
      </c>
      <c r="F52" s="16">
        <v>38</v>
      </c>
      <c r="G52" s="16">
        <v>38</v>
      </c>
      <c r="H52" s="16">
        <v>10032</v>
      </c>
      <c r="I52" s="16">
        <v>36058</v>
      </c>
      <c r="J52" s="16">
        <v>153.49</v>
      </c>
      <c r="K52" s="16">
        <v>2.71</v>
      </c>
      <c r="L52" s="16">
        <v>1923</v>
      </c>
      <c r="M52" s="16">
        <v>1</v>
      </c>
      <c r="N52" s="16" t="s">
        <v>58</v>
      </c>
      <c r="O52" s="16" t="s">
        <v>50</v>
      </c>
    </row>
    <row r="53" spans="1:15" x14ac:dyDescent="0.25">
      <c r="A53" s="16" t="s">
        <v>118</v>
      </c>
      <c r="B53" s="16">
        <v>101.9</v>
      </c>
      <c r="C53" s="16">
        <v>31.93</v>
      </c>
      <c r="D53" s="16">
        <v>2138</v>
      </c>
      <c r="E53" s="16">
        <v>278</v>
      </c>
      <c r="F53" s="16">
        <v>38</v>
      </c>
      <c r="G53" s="16">
        <v>38</v>
      </c>
      <c r="H53" s="16">
        <v>10152</v>
      </c>
      <c r="I53" s="16">
        <v>36707</v>
      </c>
      <c r="J53" s="16">
        <v>155.63</v>
      </c>
      <c r="K53" s="16">
        <v>1.74</v>
      </c>
      <c r="L53" s="16">
        <v>1962</v>
      </c>
      <c r="M53" s="16">
        <v>1</v>
      </c>
      <c r="N53" s="16" t="s">
        <v>58</v>
      </c>
      <c r="O53" s="16" t="s">
        <v>50</v>
      </c>
    </row>
    <row r="54" spans="1:15" x14ac:dyDescent="0.25">
      <c r="A54" s="16" t="s">
        <v>119</v>
      </c>
      <c r="B54" s="16">
        <v>103.9</v>
      </c>
      <c r="C54" s="16">
        <v>31.69</v>
      </c>
      <c r="D54" s="16">
        <v>1361</v>
      </c>
      <c r="E54" s="16">
        <v>195</v>
      </c>
      <c r="F54" s="16">
        <v>38</v>
      </c>
      <c r="G54" s="16">
        <v>38</v>
      </c>
      <c r="H54" s="16">
        <v>10385</v>
      </c>
      <c r="I54" s="16">
        <v>37455</v>
      </c>
      <c r="J54" s="16">
        <v>158.52</v>
      </c>
      <c r="K54" s="16">
        <v>2.38</v>
      </c>
      <c r="L54" s="16">
        <v>2002</v>
      </c>
      <c r="M54" s="16">
        <v>1</v>
      </c>
      <c r="N54" s="16" t="s">
        <v>74</v>
      </c>
      <c r="O54" s="16" t="s">
        <v>50</v>
      </c>
    </row>
    <row r="55" spans="1:15" x14ac:dyDescent="0.25">
      <c r="A55" s="16" t="s">
        <v>120</v>
      </c>
      <c r="B55" s="16">
        <v>105.9</v>
      </c>
      <c r="C55" s="16">
        <v>32.29</v>
      </c>
      <c r="D55" s="16">
        <v>2470</v>
      </c>
      <c r="E55" s="16">
        <v>371</v>
      </c>
      <c r="F55" s="16">
        <v>38</v>
      </c>
      <c r="G55" s="16">
        <v>38</v>
      </c>
      <c r="H55" s="16">
        <v>10651</v>
      </c>
      <c r="I55" s="16">
        <v>38243</v>
      </c>
      <c r="J55" s="16">
        <v>161.69</v>
      </c>
      <c r="K55" s="16">
        <v>2.62</v>
      </c>
      <c r="L55" s="16">
        <v>2041</v>
      </c>
      <c r="M55" s="16">
        <v>1</v>
      </c>
      <c r="N55" s="16" t="s">
        <v>58</v>
      </c>
      <c r="O55" s="16" t="s">
        <v>50</v>
      </c>
    </row>
    <row r="56" spans="1:15" x14ac:dyDescent="0.25">
      <c r="A56" s="16" t="s">
        <v>121</v>
      </c>
      <c r="B56" s="16">
        <v>108</v>
      </c>
      <c r="C56" s="16">
        <v>32.04</v>
      </c>
      <c r="D56" s="16">
        <v>2117</v>
      </c>
      <c r="E56" s="16">
        <v>374</v>
      </c>
      <c r="F56" s="16">
        <v>38</v>
      </c>
      <c r="G56" s="16">
        <v>38</v>
      </c>
      <c r="H56" s="16">
        <v>10802</v>
      </c>
      <c r="I56" s="16">
        <v>38959</v>
      </c>
      <c r="J56" s="16">
        <v>164.21</v>
      </c>
      <c r="K56" s="16">
        <v>2.06</v>
      </c>
      <c r="L56" s="16">
        <v>2080</v>
      </c>
      <c r="M56" s="16">
        <v>1</v>
      </c>
      <c r="N56" s="16" t="s">
        <v>122</v>
      </c>
      <c r="O56" s="16" t="s">
        <v>50</v>
      </c>
    </row>
    <row r="57" spans="1:15" x14ac:dyDescent="0.25">
      <c r="A57" s="16" t="s">
        <v>123</v>
      </c>
      <c r="B57" s="16">
        <v>110</v>
      </c>
      <c r="C57" s="16">
        <v>32.22</v>
      </c>
      <c r="D57" s="16">
        <v>2109</v>
      </c>
      <c r="E57" s="16">
        <v>262</v>
      </c>
      <c r="F57" s="16">
        <v>38</v>
      </c>
      <c r="G57" s="16">
        <v>38</v>
      </c>
      <c r="H57" s="16">
        <v>10974</v>
      </c>
      <c r="I57" s="16">
        <v>39741</v>
      </c>
      <c r="J57" s="16">
        <v>166.61</v>
      </c>
      <c r="K57" s="16">
        <v>1.95</v>
      </c>
      <c r="L57" s="16">
        <v>2120</v>
      </c>
      <c r="M57" s="16">
        <v>1</v>
      </c>
      <c r="N57" s="16" t="s">
        <v>58</v>
      </c>
      <c r="O57" s="16" t="s">
        <v>50</v>
      </c>
    </row>
    <row r="58" spans="1:15" x14ac:dyDescent="0.25">
      <c r="A58" s="16" t="s">
        <v>124</v>
      </c>
      <c r="B58" s="16">
        <v>112.1</v>
      </c>
      <c r="C58" s="16">
        <v>32.1</v>
      </c>
      <c r="D58" s="16">
        <v>2120</v>
      </c>
      <c r="E58" s="16">
        <v>265</v>
      </c>
      <c r="F58" s="16">
        <v>38</v>
      </c>
      <c r="G58" s="16">
        <v>38</v>
      </c>
      <c r="H58" s="16">
        <v>11286</v>
      </c>
      <c r="I58" s="16">
        <v>40560</v>
      </c>
      <c r="J58" s="16">
        <v>170.17</v>
      </c>
      <c r="K58" s="16">
        <v>2.94</v>
      </c>
      <c r="L58" s="16">
        <v>2159</v>
      </c>
      <c r="M58" s="16">
        <v>1</v>
      </c>
      <c r="N58" s="16" t="s">
        <v>58</v>
      </c>
      <c r="O58" s="16" t="s">
        <v>50</v>
      </c>
    </row>
    <row r="59" spans="1:15" x14ac:dyDescent="0.25">
      <c r="A59" s="16" t="s">
        <v>125</v>
      </c>
      <c r="B59" s="16">
        <v>114.1</v>
      </c>
      <c r="C59" s="16">
        <v>32.47</v>
      </c>
      <c r="D59" s="16">
        <v>1468</v>
      </c>
      <c r="E59" s="16">
        <v>236</v>
      </c>
      <c r="F59" s="16">
        <v>38</v>
      </c>
      <c r="G59" s="16">
        <v>38</v>
      </c>
      <c r="H59" s="16">
        <v>11418</v>
      </c>
      <c r="I59" s="16">
        <v>41346</v>
      </c>
      <c r="J59" s="16">
        <v>173.01</v>
      </c>
      <c r="K59" s="16">
        <v>2.32</v>
      </c>
      <c r="L59" s="16">
        <v>2199</v>
      </c>
      <c r="M59" s="16">
        <v>1</v>
      </c>
      <c r="N59" s="16" t="s">
        <v>47</v>
      </c>
      <c r="O59" s="16" t="s">
        <v>50</v>
      </c>
    </row>
    <row r="60" spans="1:15" x14ac:dyDescent="0.25">
      <c r="A60" s="16" t="s">
        <v>126</v>
      </c>
      <c r="B60" s="16">
        <v>116.1</v>
      </c>
      <c r="C60" s="16">
        <v>31.63</v>
      </c>
      <c r="D60" s="16">
        <v>1316</v>
      </c>
      <c r="E60" s="16">
        <v>182</v>
      </c>
      <c r="F60" s="16">
        <v>38</v>
      </c>
      <c r="G60" s="16">
        <v>38</v>
      </c>
      <c r="H60" s="16">
        <v>11627</v>
      </c>
      <c r="I60" s="16">
        <v>42204</v>
      </c>
      <c r="J60" s="16">
        <v>177.08</v>
      </c>
      <c r="K60" s="16">
        <v>3.33</v>
      </c>
      <c r="L60" s="16">
        <v>2239</v>
      </c>
      <c r="M60" s="16">
        <v>1</v>
      </c>
      <c r="N60" s="16" t="s">
        <v>127</v>
      </c>
      <c r="O60" s="16" t="s">
        <v>50</v>
      </c>
    </row>
    <row r="61" spans="1:15" x14ac:dyDescent="0.25">
      <c r="A61" s="16" t="s">
        <v>128</v>
      </c>
      <c r="B61" s="16">
        <v>118.2</v>
      </c>
      <c r="C61" s="16">
        <v>32.32</v>
      </c>
      <c r="D61" s="16">
        <v>1464</v>
      </c>
      <c r="E61" s="16">
        <v>236</v>
      </c>
      <c r="F61" s="16">
        <v>38</v>
      </c>
      <c r="G61" s="16">
        <v>38</v>
      </c>
      <c r="H61" s="16">
        <v>11915</v>
      </c>
      <c r="I61" s="16">
        <v>42939</v>
      </c>
      <c r="J61" s="16">
        <v>180.78</v>
      </c>
      <c r="K61" s="16">
        <v>3.04</v>
      </c>
      <c r="L61" s="16">
        <v>2278</v>
      </c>
      <c r="M61" s="16">
        <v>1</v>
      </c>
      <c r="N61" s="16" t="s">
        <v>47</v>
      </c>
      <c r="O61" s="16" t="s">
        <v>50</v>
      </c>
    </row>
    <row r="62" spans="1:15" x14ac:dyDescent="0.25">
      <c r="A62" s="16" t="s">
        <v>129</v>
      </c>
      <c r="B62" s="16">
        <v>120.2</v>
      </c>
      <c r="C62" s="16">
        <v>32.18</v>
      </c>
      <c r="D62" s="16">
        <v>2110</v>
      </c>
      <c r="E62" s="16">
        <v>262</v>
      </c>
      <c r="F62" s="16">
        <v>38</v>
      </c>
      <c r="G62" s="16">
        <v>38</v>
      </c>
      <c r="H62" s="16">
        <v>12087</v>
      </c>
      <c r="I62" s="16">
        <v>43584</v>
      </c>
      <c r="J62" s="16">
        <v>183.19</v>
      </c>
      <c r="K62" s="16">
        <v>1.97</v>
      </c>
      <c r="L62" s="16">
        <v>2318</v>
      </c>
      <c r="M62" s="16">
        <v>1</v>
      </c>
      <c r="N62" s="16" t="s">
        <v>58</v>
      </c>
      <c r="O62" s="16" t="s">
        <v>50</v>
      </c>
    </row>
    <row r="63" spans="1:15" x14ac:dyDescent="0.25">
      <c r="A63" s="16" t="s">
        <v>130</v>
      </c>
      <c r="B63" s="16">
        <v>122.3</v>
      </c>
      <c r="C63" s="16">
        <v>32.21</v>
      </c>
      <c r="D63" s="16">
        <v>2107</v>
      </c>
      <c r="E63" s="16">
        <v>262</v>
      </c>
      <c r="F63" s="16">
        <v>38</v>
      </c>
      <c r="G63" s="16">
        <v>38</v>
      </c>
      <c r="H63" s="16">
        <v>12294</v>
      </c>
      <c r="I63" s="16">
        <v>44384</v>
      </c>
      <c r="J63" s="16">
        <v>190.49</v>
      </c>
      <c r="K63" s="16">
        <v>5.77</v>
      </c>
      <c r="L63" s="16">
        <v>2358</v>
      </c>
      <c r="M63" s="16">
        <v>1</v>
      </c>
      <c r="N63" s="16" t="s">
        <v>58</v>
      </c>
      <c r="O63" s="16" t="s">
        <v>50</v>
      </c>
    </row>
    <row r="64" spans="1:15" x14ac:dyDescent="0.25">
      <c r="A64" s="16" t="s">
        <v>131</v>
      </c>
      <c r="B64" s="16">
        <v>124.3</v>
      </c>
      <c r="C64" s="16">
        <v>34.48</v>
      </c>
      <c r="D64" s="16">
        <v>3542</v>
      </c>
      <c r="E64" s="16">
        <v>1101</v>
      </c>
      <c r="F64" s="16">
        <v>38</v>
      </c>
      <c r="G64" s="16">
        <v>38</v>
      </c>
      <c r="H64" s="16">
        <v>12496</v>
      </c>
      <c r="I64" s="16">
        <v>45156</v>
      </c>
      <c r="J64" s="16">
        <v>193.21</v>
      </c>
      <c r="K64" s="16">
        <v>2.24</v>
      </c>
      <c r="L64" s="16">
        <v>2398</v>
      </c>
      <c r="M64" s="16">
        <v>1</v>
      </c>
      <c r="N64" s="16" t="s">
        <v>68</v>
      </c>
      <c r="O64" s="16" t="s">
        <v>50</v>
      </c>
    </row>
    <row r="65" spans="1:15" x14ac:dyDescent="0.25">
      <c r="A65" s="16" t="s">
        <v>132</v>
      </c>
      <c r="B65" s="16">
        <v>126.4</v>
      </c>
      <c r="C65" s="16">
        <v>31.7</v>
      </c>
      <c r="D65" s="16">
        <v>1359</v>
      </c>
      <c r="E65" s="16">
        <v>190</v>
      </c>
      <c r="F65" s="16">
        <v>38</v>
      </c>
      <c r="G65" s="16">
        <v>38</v>
      </c>
      <c r="H65" s="16">
        <v>12719</v>
      </c>
      <c r="I65" s="16">
        <v>45934</v>
      </c>
      <c r="J65" s="16">
        <v>195.81</v>
      </c>
      <c r="K65" s="16">
        <v>2.12</v>
      </c>
      <c r="L65" s="16">
        <v>2437</v>
      </c>
      <c r="M65" s="16">
        <v>1</v>
      </c>
      <c r="N65" s="16" t="s">
        <v>127</v>
      </c>
      <c r="O65" s="16" t="s">
        <v>50</v>
      </c>
    </row>
    <row r="66" spans="1:15" x14ac:dyDescent="0.25">
      <c r="A66" s="16" t="s">
        <v>133</v>
      </c>
      <c r="B66" s="16">
        <v>128.4</v>
      </c>
      <c r="C66" s="16">
        <v>33.29</v>
      </c>
      <c r="D66" s="16">
        <v>2391</v>
      </c>
      <c r="E66" s="16">
        <v>467</v>
      </c>
      <c r="F66" s="16">
        <v>38</v>
      </c>
      <c r="G66" s="16">
        <v>38</v>
      </c>
      <c r="H66" s="16">
        <v>12991</v>
      </c>
      <c r="I66" s="16">
        <v>46729</v>
      </c>
      <c r="J66" s="16">
        <v>199.95</v>
      </c>
      <c r="K66" s="16">
        <v>3.39</v>
      </c>
      <c r="L66" s="16">
        <v>2477</v>
      </c>
      <c r="M66" s="16">
        <v>1</v>
      </c>
      <c r="N66" s="16" t="s">
        <v>76</v>
      </c>
      <c r="O66" s="16" t="s">
        <v>50</v>
      </c>
    </row>
    <row r="67" spans="1:15" x14ac:dyDescent="0.25">
      <c r="A67" s="16" t="s">
        <v>134</v>
      </c>
      <c r="B67" s="16">
        <v>130.4</v>
      </c>
      <c r="C67" s="16">
        <v>32.39</v>
      </c>
      <c r="D67" s="16">
        <v>2105</v>
      </c>
      <c r="E67" s="16">
        <v>400</v>
      </c>
      <c r="F67" s="16">
        <v>38</v>
      </c>
      <c r="G67" s="16">
        <v>38</v>
      </c>
      <c r="H67" s="16">
        <v>13175</v>
      </c>
      <c r="I67" s="16">
        <v>47286</v>
      </c>
      <c r="J67" s="16">
        <v>201.71</v>
      </c>
      <c r="K67" s="16">
        <v>1.45</v>
      </c>
      <c r="L67" s="16">
        <v>2516</v>
      </c>
      <c r="M67" s="16">
        <v>1</v>
      </c>
      <c r="N67" s="16" t="s">
        <v>93</v>
      </c>
      <c r="O67" s="16" t="s">
        <v>50</v>
      </c>
    </row>
    <row r="68" spans="1:15" x14ac:dyDescent="0.25">
      <c r="A68" s="16" t="s">
        <v>135</v>
      </c>
      <c r="B68" s="16">
        <v>132.5</v>
      </c>
      <c r="C68" s="16">
        <v>32.42</v>
      </c>
      <c r="D68" s="16">
        <v>2119</v>
      </c>
      <c r="E68" s="16">
        <v>374</v>
      </c>
      <c r="F68" s="16">
        <v>38</v>
      </c>
      <c r="G68" s="16">
        <v>38</v>
      </c>
      <c r="H68" s="16">
        <v>13342</v>
      </c>
      <c r="I68" s="16">
        <v>48074</v>
      </c>
      <c r="J68" s="16">
        <v>204.12</v>
      </c>
      <c r="K68" s="16">
        <v>1.96</v>
      </c>
      <c r="L68" s="16">
        <v>2556</v>
      </c>
      <c r="M68" s="16">
        <v>1</v>
      </c>
      <c r="N68" s="16" t="s">
        <v>122</v>
      </c>
      <c r="O68" s="16" t="s">
        <v>50</v>
      </c>
    </row>
    <row r="69" spans="1:15" x14ac:dyDescent="0.25">
      <c r="A69" s="16" t="s">
        <v>136</v>
      </c>
      <c r="B69" s="16">
        <v>134.5</v>
      </c>
      <c r="C69" s="16">
        <v>32.74</v>
      </c>
      <c r="D69" s="16">
        <v>2304</v>
      </c>
      <c r="E69" s="16">
        <v>385</v>
      </c>
      <c r="F69" s="16">
        <v>38</v>
      </c>
      <c r="G69" s="16">
        <v>38</v>
      </c>
      <c r="H69" s="16">
        <v>13601</v>
      </c>
      <c r="I69" s="16">
        <v>48901</v>
      </c>
      <c r="J69" s="16">
        <v>208.19</v>
      </c>
      <c r="K69" s="16">
        <v>3.32</v>
      </c>
      <c r="L69" s="16">
        <v>2595</v>
      </c>
      <c r="M69" s="16">
        <v>1</v>
      </c>
      <c r="N69" s="16" t="s">
        <v>100</v>
      </c>
      <c r="O69" s="16" t="s">
        <v>50</v>
      </c>
    </row>
    <row r="70" spans="1:15" x14ac:dyDescent="0.25">
      <c r="A70" s="16" t="s">
        <v>137</v>
      </c>
      <c r="B70" s="16">
        <v>136.5</v>
      </c>
      <c r="C70" s="16">
        <v>32.86</v>
      </c>
      <c r="D70" s="16">
        <v>2139</v>
      </c>
      <c r="E70" s="16">
        <v>278</v>
      </c>
      <c r="F70" s="16">
        <v>38</v>
      </c>
      <c r="G70" s="16">
        <v>38</v>
      </c>
      <c r="H70" s="16">
        <v>13836</v>
      </c>
      <c r="I70" s="16">
        <v>49739</v>
      </c>
      <c r="J70" s="16">
        <v>211.64</v>
      </c>
      <c r="K70" s="16">
        <v>2.84</v>
      </c>
      <c r="L70" s="16">
        <v>2635</v>
      </c>
      <c r="M70" s="16">
        <v>1</v>
      </c>
      <c r="N70" s="16" t="s">
        <v>58</v>
      </c>
      <c r="O70" s="16" t="s">
        <v>50</v>
      </c>
    </row>
    <row r="71" spans="1:15" x14ac:dyDescent="0.25">
      <c r="A71" s="16" t="s">
        <v>138</v>
      </c>
      <c r="B71" s="16">
        <v>138.6</v>
      </c>
      <c r="C71" s="16">
        <v>32.5</v>
      </c>
      <c r="D71" s="16">
        <v>2067</v>
      </c>
      <c r="E71" s="16">
        <v>370</v>
      </c>
      <c r="F71" s="16">
        <v>38</v>
      </c>
      <c r="G71" s="16">
        <v>38</v>
      </c>
      <c r="H71" s="16">
        <v>14057</v>
      </c>
      <c r="I71" s="16">
        <v>50474</v>
      </c>
      <c r="J71" s="16">
        <v>214</v>
      </c>
      <c r="K71" s="16">
        <v>1.93</v>
      </c>
      <c r="L71" s="16">
        <v>2674</v>
      </c>
      <c r="M71" s="16">
        <v>1</v>
      </c>
      <c r="N71" s="16" t="s">
        <v>87</v>
      </c>
      <c r="O71" s="16" t="s">
        <v>50</v>
      </c>
    </row>
    <row r="72" spans="1:15" x14ac:dyDescent="0.25">
      <c r="A72" s="16" t="s">
        <v>139</v>
      </c>
      <c r="B72" s="16">
        <v>140.6</v>
      </c>
      <c r="C72" s="16">
        <v>32.53</v>
      </c>
      <c r="D72" s="16">
        <v>1927</v>
      </c>
      <c r="E72" s="16">
        <v>330</v>
      </c>
      <c r="F72" s="16">
        <v>38</v>
      </c>
      <c r="G72" s="16">
        <v>38</v>
      </c>
      <c r="H72" s="16">
        <v>14219</v>
      </c>
      <c r="I72" s="16">
        <v>51194</v>
      </c>
      <c r="J72" s="16">
        <v>217.29</v>
      </c>
      <c r="K72" s="16">
        <v>2.69</v>
      </c>
      <c r="L72" s="16">
        <v>2714</v>
      </c>
      <c r="M72" s="16">
        <v>1</v>
      </c>
      <c r="N72" s="16" t="s">
        <v>62</v>
      </c>
      <c r="O72" s="16" t="s">
        <v>50</v>
      </c>
    </row>
    <row r="73" spans="1:15" x14ac:dyDescent="0.25">
      <c r="A73" s="16" t="s">
        <v>140</v>
      </c>
      <c r="B73" s="16">
        <v>142.6</v>
      </c>
      <c r="C73" s="16">
        <v>33.63</v>
      </c>
      <c r="D73" s="16">
        <v>2572</v>
      </c>
      <c r="E73" s="16">
        <v>551</v>
      </c>
      <c r="F73" s="16">
        <v>38</v>
      </c>
      <c r="G73" s="16">
        <v>38</v>
      </c>
      <c r="H73" s="16">
        <v>14333</v>
      </c>
      <c r="I73" s="16">
        <v>51883</v>
      </c>
      <c r="J73" s="16">
        <v>219.41</v>
      </c>
      <c r="K73" s="16">
        <v>1.75</v>
      </c>
      <c r="L73" s="16">
        <v>2754</v>
      </c>
      <c r="M73" s="16">
        <v>1</v>
      </c>
      <c r="N73" s="16" t="s">
        <v>109</v>
      </c>
      <c r="O73" s="16" t="s">
        <v>50</v>
      </c>
    </row>
    <row r="74" spans="1:15" x14ac:dyDescent="0.25">
      <c r="A74" s="16" t="s">
        <v>141</v>
      </c>
      <c r="B74" s="16">
        <v>144.7</v>
      </c>
      <c r="C74" s="16">
        <v>31.84</v>
      </c>
      <c r="D74" s="16">
        <v>1407</v>
      </c>
      <c r="E74" s="16">
        <v>226</v>
      </c>
      <c r="F74" s="16">
        <v>38</v>
      </c>
      <c r="G74" s="16">
        <v>38</v>
      </c>
      <c r="H74" s="16">
        <v>14536</v>
      </c>
      <c r="I74" s="16">
        <v>52515</v>
      </c>
      <c r="J74" s="16">
        <v>221.38</v>
      </c>
      <c r="K74" s="16">
        <v>1.61</v>
      </c>
      <c r="L74" s="16">
        <v>2793</v>
      </c>
      <c r="M74" s="16">
        <v>1</v>
      </c>
      <c r="N74" s="16" t="s">
        <v>76</v>
      </c>
      <c r="O74" s="16" t="s">
        <v>50</v>
      </c>
    </row>
    <row r="75" spans="1:15" x14ac:dyDescent="0.25">
      <c r="A75" s="16" t="s">
        <v>142</v>
      </c>
      <c r="B75" s="16">
        <v>146.7</v>
      </c>
      <c r="C75" s="16">
        <v>32.01</v>
      </c>
      <c r="D75" s="16">
        <v>1407</v>
      </c>
      <c r="E75" s="16">
        <v>226</v>
      </c>
      <c r="F75" s="16">
        <v>38</v>
      </c>
      <c r="G75" s="16">
        <v>38</v>
      </c>
      <c r="H75" s="16">
        <v>14725</v>
      </c>
      <c r="I75" s="16">
        <v>53199</v>
      </c>
      <c r="J75" s="16">
        <v>223.78</v>
      </c>
      <c r="K75" s="16">
        <v>1.96</v>
      </c>
      <c r="L75" s="16">
        <v>2833</v>
      </c>
      <c r="M75" s="16">
        <v>1</v>
      </c>
      <c r="N75" s="16" t="s">
        <v>76</v>
      </c>
      <c r="O75" s="16" t="s">
        <v>50</v>
      </c>
    </row>
    <row r="76" spans="1:15" x14ac:dyDescent="0.25">
      <c r="A76" s="16" t="s">
        <v>143</v>
      </c>
      <c r="B76" s="16">
        <v>148.7</v>
      </c>
      <c r="C76" s="16">
        <v>33.02</v>
      </c>
      <c r="D76" s="16">
        <v>2182</v>
      </c>
      <c r="E76" s="16">
        <v>356</v>
      </c>
      <c r="F76" s="16">
        <v>38</v>
      </c>
      <c r="G76" s="16">
        <v>38</v>
      </c>
      <c r="H76" s="16">
        <v>14819</v>
      </c>
      <c r="I76" s="16">
        <v>53918</v>
      </c>
      <c r="J76" s="16">
        <v>225.61</v>
      </c>
      <c r="K76" s="16">
        <v>1.51</v>
      </c>
      <c r="L76" s="16">
        <v>2873</v>
      </c>
      <c r="M76" s="16">
        <v>1</v>
      </c>
      <c r="N76" s="16" t="s">
        <v>82</v>
      </c>
      <c r="O76" s="16" t="s">
        <v>50</v>
      </c>
    </row>
    <row r="77" spans="1:15" x14ac:dyDescent="0.25">
      <c r="A77" s="16" t="s">
        <v>144</v>
      </c>
      <c r="B77" s="16">
        <v>150.8</v>
      </c>
      <c r="C77" s="16">
        <v>31.94</v>
      </c>
      <c r="D77" s="16">
        <v>1357</v>
      </c>
      <c r="E77" s="16">
        <v>182</v>
      </c>
      <c r="F77" s="16">
        <v>38</v>
      </c>
      <c r="G77" s="16">
        <v>38</v>
      </c>
      <c r="H77" s="16">
        <v>15041</v>
      </c>
      <c r="I77" s="16">
        <v>54658</v>
      </c>
      <c r="J77" s="16">
        <v>228.49</v>
      </c>
      <c r="K77" s="16">
        <v>2.35</v>
      </c>
      <c r="L77" s="16">
        <v>2912</v>
      </c>
      <c r="M77" s="16">
        <v>1</v>
      </c>
      <c r="N77" s="16" t="s">
        <v>103</v>
      </c>
      <c r="O77" s="16" t="s">
        <v>50</v>
      </c>
    </row>
    <row r="78" spans="1:15" x14ac:dyDescent="0.25">
      <c r="A78" s="16" t="s">
        <v>145</v>
      </c>
      <c r="B78" s="16">
        <v>152.8</v>
      </c>
      <c r="C78" s="16">
        <v>32.57</v>
      </c>
      <c r="D78" s="16">
        <v>2107</v>
      </c>
      <c r="E78" s="16">
        <v>262</v>
      </c>
      <c r="F78" s="16">
        <v>38</v>
      </c>
      <c r="G78" s="16">
        <v>38</v>
      </c>
      <c r="H78" s="16">
        <v>15280</v>
      </c>
      <c r="I78" s="16">
        <v>55470</v>
      </c>
      <c r="J78" s="16">
        <v>231.43</v>
      </c>
      <c r="K78" s="16">
        <v>2.41</v>
      </c>
      <c r="L78" s="16">
        <v>2952</v>
      </c>
      <c r="M78" s="16">
        <v>1</v>
      </c>
      <c r="N78" s="16" t="s">
        <v>58</v>
      </c>
      <c r="O78" s="16" t="s">
        <v>50</v>
      </c>
    </row>
    <row r="79" spans="1:15" x14ac:dyDescent="0.25">
      <c r="A79" s="16" t="s">
        <v>146</v>
      </c>
      <c r="B79" s="16">
        <v>154.8</v>
      </c>
      <c r="C79" s="16">
        <v>33.12</v>
      </c>
      <c r="D79" s="16">
        <v>2153</v>
      </c>
      <c r="E79" s="16">
        <v>278</v>
      </c>
      <c r="F79" s="16">
        <v>38</v>
      </c>
      <c r="G79" s="16">
        <v>38</v>
      </c>
      <c r="H79" s="16">
        <v>15432</v>
      </c>
      <c r="I79" s="16">
        <v>56206</v>
      </c>
      <c r="J79" s="16">
        <v>233.91</v>
      </c>
      <c r="K79" s="16">
        <v>2.04</v>
      </c>
      <c r="L79" s="16">
        <v>2992</v>
      </c>
      <c r="M79" s="16">
        <v>1</v>
      </c>
      <c r="N79" s="16" t="s">
        <v>58</v>
      </c>
      <c r="O79" s="16" t="s">
        <v>50</v>
      </c>
    </row>
    <row r="80" spans="1:15" x14ac:dyDescent="0.25">
      <c r="A80" s="16" t="s">
        <v>147</v>
      </c>
      <c r="B80" s="16">
        <v>156.9</v>
      </c>
      <c r="C80" s="16">
        <v>32.16</v>
      </c>
      <c r="D80" s="16">
        <v>1407</v>
      </c>
      <c r="E80" s="16">
        <v>226</v>
      </c>
      <c r="F80" s="16">
        <v>38</v>
      </c>
      <c r="G80" s="16">
        <v>38</v>
      </c>
      <c r="H80" s="16">
        <v>15768</v>
      </c>
      <c r="I80" s="16">
        <v>57069</v>
      </c>
      <c r="J80" s="16">
        <v>238.08</v>
      </c>
      <c r="K80" s="16">
        <v>3.41</v>
      </c>
      <c r="L80" s="16">
        <v>3031</v>
      </c>
      <c r="M80" s="16">
        <v>1</v>
      </c>
      <c r="N80" s="16" t="s">
        <v>76</v>
      </c>
      <c r="O80" s="16" t="s">
        <v>50</v>
      </c>
    </row>
    <row r="81" spans="1:15" x14ac:dyDescent="0.25">
      <c r="A81" s="16" t="s">
        <v>148</v>
      </c>
      <c r="B81" s="16">
        <v>158.9</v>
      </c>
      <c r="C81" s="16">
        <v>32.54</v>
      </c>
      <c r="D81" s="16">
        <v>1946</v>
      </c>
      <c r="E81" s="16">
        <v>412</v>
      </c>
      <c r="F81" s="16">
        <v>38</v>
      </c>
      <c r="G81" s="16">
        <v>38</v>
      </c>
      <c r="H81" s="16">
        <v>15939</v>
      </c>
      <c r="I81" s="16">
        <v>57747</v>
      </c>
      <c r="J81" s="16">
        <v>239.94</v>
      </c>
      <c r="K81" s="16">
        <v>1.52</v>
      </c>
      <c r="L81" s="16">
        <v>3071</v>
      </c>
      <c r="M81" s="16">
        <v>1</v>
      </c>
      <c r="N81" s="16" t="s">
        <v>52</v>
      </c>
      <c r="O81" s="16" t="s">
        <v>50</v>
      </c>
    </row>
    <row r="82" spans="1:15" x14ac:dyDescent="0.25">
      <c r="A82" s="16" t="s">
        <v>149</v>
      </c>
      <c r="B82" s="16">
        <v>160.9</v>
      </c>
      <c r="C82" s="16">
        <v>33.01</v>
      </c>
      <c r="D82" s="16">
        <v>2539</v>
      </c>
      <c r="E82" s="16">
        <v>524</v>
      </c>
      <c r="F82" s="16">
        <v>38</v>
      </c>
      <c r="G82" s="16">
        <v>38</v>
      </c>
      <c r="H82" s="16">
        <v>16028</v>
      </c>
      <c r="I82" s="16">
        <v>58324</v>
      </c>
      <c r="J82" s="16">
        <v>241.71</v>
      </c>
      <c r="K82" s="16">
        <v>1.46</v>
      </c>
      <c r="L82" s="16">
        <v>3111</v>
      </c>
      <c r="M82" s="16">
        <v>1</v>
      </c>
      <c r="N82" s="16" t="s">
        <v>109</v>
      </c>
      <c r="O82" s="16" t="s">
        <v>50</v>
      </c>
    </row>
    <row r="83" spans="1:15" x14ac:dyDescent="0.25">
      <c r="A83" s="16" t="s">
        <v>150</v>
      </c>
      <c r="B83" s="16">
        <v>163</v>
      </c>
      <c r="C83" s="16">
        <v>33.1</v>
      </c>
      <c r="D83" s="16">
        <v>1978</v>
      </c>
      <c r="E83" s="16">
        <v>348</v>
      </c>
      <c r="F83" s="16">
        <v>38</v>
      </c>
      <c r="G83" s="16">
        <v>38</v>
      </c>
      <c r="H83" s="16">
        <v>16225</v>
      </c>
      <c r="I83" s="16">
        <v>59170</v>
      </c>
      <c r="J83" s="16">
        <v>244.33</v>
      </c>
      <c r="K83" s="16">
        <v>2.14</v>
      </c>
      <c r="L83" s="16">
        <v>3151</v>
      </c>
      <c r="M83" s="16">
        <v>1</v>
      </c>
      <c r="N83" s="16" t="s">
        <v>62</v>
      </c>
      <c r="O83" s="16" t="s">
        <v>50</v>
      </c>
    </row>
    <row r="84" spans="1:15" x14ac:dyDescent="0.25">
      <c r="A84" s="16" t="s">
        <v>151</v>
      </c>
      <c r="B84" s="16">
        <v>165</v>
      </c>
      <c r="C84" s="16">
        <v>32.71</v>
      </c>
      <c r="D84" s="16">
        <v>1971</v>
      </c>
      <c r="E84" s="16">
        <v>342</v>
      </c>
      <c r="F84" s="16">
        <v>38</v>
      </c>
      <c r="G84" s="16">
        <v>38</v>
      </c>
      <c r="H84" s="16">
        <v>16526</v>
      </c>
      <c r="I84" s="16">
        <v>60076</v>
      </c>
      <c r="J84" s="16">
        <v>248.34</v>
      </c>
      <c r="K84" s="16">
        <v>3.29</v>
      </c>
      <c r="L84" s="16">
        <v>3190</v>
      </c>
      <c r="M84" s="16">
        <v>1</v>
      </c>
      <c r="N84" s="16" t="s">
        <v>62</v>
      </c>
      <c r="O84" s="16" t="s">
        <v>50</v>
      </c>
    </row>
    <row r="85" spans="1:15" x14ac:dyDescent="0.25">
      <c r="A85" s="16" t="s">
        <v>152</v>
      </c>
      <c r="B85" s="16">
        <v>167</v>
      </c>
      <c r="C85" s="16">
        <v>33.01</v>
      </c>
      <c r="D85" s="16">
        <v>2529</v>
      </c>
      <c r="E85" s="16">
        <v>514</v>
      </c>
      <c r="F85" s="16">
        <v>38</v>
      </c>
      <c r="G85" s="16">
        <v>38</v>
      </c>
      <c r="H85" s="16">
        <v>16694</v>
      </c>
      <c r="I85" s="16">
        <v>60797</v>
      </c>
      <c r="J85" s="16">
        <v>251.03</v>
      </c>
      <c r="K85" s="16">
        <v>2.21</v>
      </c>
      <c r="L85" s="16">
        <v>3230</v>
      </c>
      <c r="M85" s="16">
        <v>1</v>
      </c>
      <c r="N85" s="16" t="s">
        <v>109</v>
      </c>
      <c r="O85" s="16" t="s">
        <v>50</v>
      </c>
    </row>
    <row r="86" spans="1:15" x14ac:dyDescent="0.25">
      <c r="A86" s="16" t="s">
        <v>153</v>
      </c>
      <c r="B86" s="16">
        <v>169.1</v>
      </c>
      <c r="C86" s="16">
        <v>32.42</v>
      </c>
      <c r="D86" s="16">
        <v>1361</v>
      </c>
      <c r="E86" s="16">
        <v>197</v>
      </c>
      <c r="F86" s="16">
        <v>38</v>
      </c>
      <c r="G86" s="16">
        <v>38</v>
      </c>
      <c r="H86" s="16">
        <v>16825</v>
      </c>
      <c r="I86" s="16">
        <v>61400</v>
      </c>
      <c r="J86" s="16">
        <v>252.84</v>
      </c>
      <c r="K86" s="16">
        <v>1.48</v>
      </c>
      <c r="L86" s="16">
        <v>3270</v>
      </c>
      <c r="M86" s="16">
        <v>1</v>
      </c>
      <c r="N86" s="16" t="s">
        <v>74</v>
      </c>
      <c r="O86" s="16" t="s">
        <v>50</v>
      </c>
    </row>
    <row r="87" spans="1:15" x14ac:dyDescent="0.25">
      <c r="A87" s="16" t="s">
        <v>154</v>
      </c>
      <c r="B87" s="16">
        <v>171.1</v>
      </c>
      <c r="C87" s="16">
        <v>32.66</v>
      </c>
      <c r="D87" s="16">
        <v>2134</v>
      </c>
      <c r="E87" s="16">
        <v>332</v>
      </c>
      <c r="F87" s="16">
        <v>38</v>
      </c>
      <c r="G87" s="16">
        <v>38</v>
      </c>
      <c r="H87" s="16">
        <v>16989</v>
      </c>
      <c r="I87" s="16">
        <v>61955</v>
      </c>
      <c r="J87" s="16">
        <v>255.26</v>
      </c>
      <c r="K87" s="16">
        <v>1.98</v>
      </c>
      <c r="L87" s="16">
        <v>3310</v>
      </c>
      <c r="M87" s="16">
        <v>1</v>
      </c>
      <c r="N87" s="16" t="s">
        <v>82</v>
      </c>
      <c r="O87" s="16" t="s">
        <v>50</v>
      </c>
    </row>
    <row r="88" spans="1:15" x14ac:dyDescent="0.25">
      <c r="A88" s="16" t="s">
        <v>155</v>
      </c>
      <c r="B88" s="16">
        <v>173.1</v>
      </c>
      <c r="C88" s="16">
        <v>32.72</v>
      </c>
      <c r="D88" s="16">
        <v>1374</v>
      </c>
      <c r="E88" s="16">
        <v>215</v>
      </c>
      <c r="F88" s="16">
        <v>38</v>
      </c>
      <c r="G88" s="16">
        <v>38</v>
      </c>
      <c r="H88" s="16">
        <v>17142</v>
      </c>
      <c r="I88" s="16">
        <v>62680</v>
      </c>
      <c r="J88" s="16">
        <v>257.63</v>
      </c>
      <c r="K88" s="16">
        <v>1.95</v>
      </c>
      <c r="L88" s="16">
        <v>3350</v>
      </c>
      <c r="M88" s="16">
        <v>1</v>
      </c>
      <c r="N88" s="16" t="s">
        <v>127</v>
      </c>
      <c r="O88" s="16" t="s">
        <v>50</v>
      </c>
    </row>
    <row r="89" spans="1:15" x14ac:dyDescent="0.25">
      <c r="A89" s="16" t="s">
        <v>156</v>
      </c>
      <c r="B89" s="16">
        <v>175.1</v>
      </c>
      <c r="C89" s="16">
        <v>32.92</v>
      </c>
      <c r="D89" s="16">
        <v>2529</v>
      </c>
      <c r="E89" s="16">
        <v>514</v>
      </c>
      <c r="F89" s="16">
        <v>38</v>
      </c>
      <c r="G89" s="16">
        <v>38</v>
      </c>
      <c r="H89" s="16">
        <v>17357</v>
      </c>
      <c r="I89" s="16">
        <v>63422</v>
      </c>
      <c r="J89" s="16">
        <v>261.12</v>
      </c>
      <c r="K89" s="16">
        <v>2.88</v>
      </c>
      <c r="L89" s="16">
        <v>3389</v>
      </c>
      <c r="M89" s="16">
        <v>1</v>
      </c>
      <c r="N89" s="16" t="s">
        <v>109</v>
      </c>
      <c r="O89" s="16" t="s">
        <v>50</v>
      </c>
    </row>
    <row r="90" spans="1:15" x14ac:dyDescent="0.25">
      <c r="A90" s="16" t="s">
        <v>157</v>
      </c>
      <c r="B90" s="16">
        <v>177.2</v>
      </c>
      <c r="C90" s="16">
        <v>32.03</v>
      </c>
      <c r="D90" s="16">
        <v>1335</v>
      </c>
      <c r="E90" s="16">
        <v>168</v>
      </c>
      <c r="F90" s="16">
        <v>38</v>
      </c>
      <c r="G90" s="16">
        <v>38</v>
      </c>
      <c r="H90" s="16">
        <v>17508</v>
      </c>
      <c r="I90" s="16">
        <v>64170</v>
      </c>
      <c r="J90" s="16">
        <v>263.81</v>
      </c>
      <c r="K90" s="16">
        <v>2.2</v>
      </c>
      <c r="L90" s="16">
        <v>3429</v>
      </c>
      <c r="M90" s="16">
        <v>1</v>
      </c>
      <c r="N90" s="16" t="s">
        <v>103</v>
      </c>
      <c r="O90" s="16" t="s">
        <v>50</v>
      </c>
    </row>
    <row r="91" spans="1:15" x14ac:dyDescent="0.25">
      <c r="A91" s="16" t="s">
        <v>158</v>
      </c>
      <c r="B91" s="16">
        <v>179.2</v>
      </c>
      <c r="C91" s="16">
        <v>32.26</v>
      </c>
      <c r="D91" s="16">
        <v>1365</v>
      </c>
      <c r="E91" s="16">
        <v>198</v>
      </c>
      <c r="F91" s="16">
        <v>38</v>
      </c>
      <c r="G91" s="16">
        <v>38</v>
      </c>
      <c r="H91" s="16">
        <v>17760</v>
      </c>
      <c r="I91" s="16">
        <v>65014</v>
      </c>
      <c r="J91" s="16">
        <v>266.74</v>
      </c>
      <c r="K91" s="16">
        <v>2.42</v>
      </c>
      <c r="L91" s="16">
        <v>3469</v>
      </c>
      <c r="M91" s="16">
        <v>1</v>
      </c>
      <c r="N91" s="16" t="s">
        <v>90</v>
      </c>
      <c r="O91" s="16" t="s">
        <v>50</v>
      </c>
    </row>
    <row r="92" spans="1:15" x14ac:dyDescent="0.25">
      <c r="A92" s="16" t="s">
        <v>159</v>
      </c>
      <c r="B92" s="16">
        <v>181.2</v>
      </c>
      <c r="C92" s="16">
        <v>32.24</v>
      </c>
      <c r="D92" s="16">
        <v>1407</v>
      </c>
      <c r="E92" s="16">
        <v>226</v>
      </c>
      <c r="F92" s="16">
        <v>38</v>
      </c>
      <c r="G92" s="16">
        <v>38</v>
      </c>
      <c r="H92" s="16">
        <v>17925</v>
      </c>
      <c r="I92" s="16">
        <v>65717</v>
      </c>
      <c r="J92" s="16">
        <v>268.77</v>
      </c>
      <c r="K92" s="16">
        <v>1.67</v>
      </c>
      <c r="L92" s="16">
        <v>3509</v>
      </c>
      <c r="M92" s="16">
        <v>1</v>
      </c>
      <c r="N92" s="16" t="s">
        <v>76</v>
      </c>
      <c r="O92" s="16" t="s">
        <v>50</v>
      </c>
    </row>
    <row r="93" spans="1:15" x14ac:dyDescent="0.25">
      <c r="A93" s="16" t="s">
        <v>160</v>
      </c>
      <c r="B93" s="16">
        <v>183.4</v>
      </c>
      <c r="C93" s="16">
        <v>32.72</v>
      </c>
      <c r="D93" s="16">
        <v>2156</v>
      </c>
      <c r="E93" s="16">
        <v>275</v>
      </c>
      <c r="F93" s="16">
        <v>38</v>
      </c>
      <c r="G93" s="16">
        <v>38</v>
      </c>
      <c r="H93" s="16">
        <v>18046</v>
      </c>
      <c r="I93" s="16">
        <v>66480</v>
      </c>
      <c r="J93" s="16">
        <v>277.1</v>
      </c>
      <c r="K93" s="16">
        <v>6.52</v>
      </c>
      <c r="L93" s="16">
        <v>3549</v>
      </c>
      <c r="M93" s="16">
        <v>1</v>
      </c>
      <c r="N93" s="16" t="s">
        <v>58</v>
      </c>
      <c r="O93" s="16" t="s">
        <v>50</v>
      </c>
    </row>
    <row r="94" spans="1:15" x14ac:dyDescent="0.25">
      <c r="A94" s="16" t="s">
        <v>161</v>
      </c>
      <c r="B94" s="16">
        <v>185.4</v>
      </c>
      <c r="C94" s="16">
        <v>33.07</v>
      </c>
      <c r="D94" s="16">
        <v>1464</v>
      </c>
      <c r="E94" s="16">
        <v>236</v>
      </c>
      <c r="F94" s="16">
        <v>38</v>
      </c>
      <c r="G94" s="16">
        <v>38</v>
      </c>
      <c r="H94" s="16">
        <v>18277</v>
      </c>
      <c r="I94" s="16">
        <v>67290</v>
      </c>
      <c r="J94" s="16">
        <v>280.4</v>
      </c>
      <c r="K94" s="16">
        <v>2.71</v>
      </c>
      <c r="L94" s="16">
        <v>3589</v>
      </c>
      <c r="M94" s="16">
        <v>1</v>
      </c>
      <c r="N94" s="16" t="s">
        <v>47</v>
      </c>
      <c r="O94" s="16" t="s">
        <v>50</v>
      </c>
    </row>
    <row r="95" spans="1:15" x14ac:dyDescent="0.25">
      <c r="A95" s="16" t="s">
        <v>162</v>
      </c>
      <c r="B95" s="16">
        <v>187.4</v>
      </c>
      <c r="C95" s="16">
        <v>32.22</v>
      </c>
      <c r="D95" s="16">
        <v>1316</v>
      </c>
      <c r="E95" s="16">
        <v>178</v>
      </c>
      <c r="F95" s="16">
        <v>38</v>
      </c>
      <c r="G95" s="16">
        <v>38</v>
      </c>
      <c r="H95" s="16">
        <v>18430</v>
      </c>
      <c r="I95" s="16">
        <v>68100</v>
      </c>
      <c r="J95" s="16">
        <v>282.91</v>
      </c>
      <c r="K95" s="16">
        <v>2.07</v>
      </c>
      <c r="L95" s="16">
        <v>3629</v>
      </c>
      <c r="M95" s="16">
        <v>1</v>
      </c>
      <c r="N95" s="16" t="s">
        <v>127</v>
      </c>
      <c r="O95" s="16" t="s">
        <v>50</v>
      </c>
    </row>
    <row r="96" spans="1:15" x14ac:dyDescent="0.25">
      <c r="A96" s="16" t="s">
        <v>163</v>
      </c>
      <c r="B96" s="16">
        <v>189.4</v>
      </c>
      <c r="C96" s="16">
        <v>32.92</v>
      </c>
      <c r="D96" s="16">
        <v>2126</v>
      </c>
      <c r="E96" s="16">
        <v>447</v>
      </c>
      <c r="F96" s="16">
        <v>38</v>
      </c>
      <c r="G96" s="16">
        <v>38</v>
      </c>
      <c r="H96" s="16">
        <v>18630</v>
      </c>
      <c r="I96" s="16">
        <v>68831</v>
      </c>
      <c r="J96" s="16">
        <v>287.43</v>
      </c>
      <c r="K96" s="16">
        <v>3.72</v>
      </c>
      <c r="L96" s="16">
        <v>3669</v>
      </c>
      <c r="M96" s="16">
        <v>1</v>
      </c>
      <c r="N96" s="16" t="s">
        <v>52</v>
      </c>
      <c r="O96" s="16" t="s">
        <v>50</v>
      </c>
    </row>
    <row r="97" spans="1:15" x14ac:dyDescent="0.25">
      <c r="A97" s="16" t="s">
        <v>164</v>
      </c>
      <c r="B97" s="16">
        <v>191.5</v>
      </c>
      <c r="C97" s="16">
        <v>32.84</v>
      </c>
      <c r="D97" s="16">
        <v>2003</v>
      </c>
      <c r="E97" s="16">
        <v>415</v>
      </c>
      <c r="F97" s="16">
        <v>38</v>
      </c>
      <c r="G97" s="16">
        <v>38</v>
      </c>
      <c r="H97" s="16">
        <v>18846</v>
      </c>
      <c r="I97" s="16">
        <v>69671</v>
      </c>
      <c r="J97" s="16">
        <v>290.22</v>
      </c>
      <c r="K97" s="16">
        <v>2.29</v>
      </c>
      <c r="L97" s="16">
        <v>3709</v>
      </c>
      <c r="M97" s="16">
        <v>1</v>
      </c>
      <c r="N97" s="16" t="s">
        <v>66</v>
      </c>
      <c r="O97" s="16" t="s">
        <v>50</v>
      </c>
    </row>
    <row r="98" spans="1:15" x14ac:dyDescent="0.25">
      <c r="A98" s="16" t="s">
        <v>165</v>
      </c>
      <c r="B98" s="16">
        <v>193.5</v>
      </c>
      <c r="C98" s="16">
        <v>32.85</v>
      </c>
      <c r="D98" s="16">
        <v>2100</v>
      </c>
      <c r="E98" s="16">
        <v>380</v>
      </c>
      <c r="F98" s="16">
        <v>38</v>
      </c>
      <c r="G98" s="16">
        <v>38</v>
      </c>
      <c r="H98" s="16">
        <v>19025</v>
      </c>
      <c r="I98" s="16">
        <v>70307</v>
      </c>
      <c r="J98" s="16">
        <v>292.23</v>
      </c>
      <c r="K98" s="16">
        <v>1.64</v>
      </c>
      <c r="L98" s="16">
        <v>3749</v>
      </c>
      <c r="M98" s="16">
        <v>1</v>
      </c>
      <c r="N98" s="16" t="s">
        <v>87</v>
      </c>
      <c r="O98" s="16" t="s">
        <v>50</v>
      </c>
    </row>
    <row r="99" spans="1:15" x14ac:dyDescent="0.25">
      <c r="A99" s="16" t="s">
        <v>166</v>
      </c>
      <c r="B99" s="16">
        <v>195.5</v>
      </c>
      <c r="C99" s="16">
        <v>33.17</v>
      </c>
      <c r="D99" s="16">
        <v>1464</v>
      </c>
      <c r="E99" s="16">
        <v>236</v>
      </c>
      <c r="F99" s="16">
        <v>38</v>
      </c>
      <c r="G99" s="16">
        <v>38</v>
      </c>
      <c r="H99" s="16">
        <v>19199</v>
      </c>
      <c r="I99" s="16">
        <v>71012</v>
      </c>
      <c r="J99" s="16">
        <v>296.02</v>
      </c>
      <c r="K99" s="16">
        <v>3.12</v>
      </c>
      <c r="L99" s="16">
        <v>3789</v>
      </c>
      <c r="M99" s="16">
        <v>1</v>
      </c>
      <c r="N99" s="16" t="s">
        <v>47</v>
      </c>
      <c r="O99" s="16" t="s">
        <v>50</v>
      </c>
    </row>
    <row r="100" spans="1:15" x14ac:dyDescent="0.25">
      <c r="A100" s="16" t="s">
        <v>167</v>
      </c>
      <c r="B100" s="16">
        <v>197.6</v>
      </c>
      <c r="C100" s="16">
        <v>33.12</v>
      </c>
      <c r="D100" s="16">
        <v>2175</v>
      </c>
      <c r="E100" s="16">
        <v>467</v>
      </c>
      <c r="F100" s="16">
        <v>38</v>
      </c>
      <c r="G100" s="16">
        <v>38</v>
      </c>
      <c r="H100" s="16">
        <v>19388</v>
      </c>
      <c r="I100" s="16">
        <v>71649</v>
      </c>
      <c r="J100" s="16">
        <v>299.36</v>
      </c>
      <c r="K100" s="16">
        <v>2.74</v>
      </c>
      <c r="L100" s="16">
        <v>3829</v>
      </c>
      <c r="M100" s="16">
        <v>1</v>
      </c>
      <c r="N100" s="16" t="s">
        <v>52</v>
      </c>
      <c r="O100" s="16" t="s">
        <v>50</v>
      </c>
    </row>
    <row r="101" spans="1:15" x14ac:dyDescent="0.25">
      <c r="A101" s="16" t="s">
        <v>168</v>
      </c>
      <c r="B101" s="16">
        <v>199.6</v>
      </c>
      <c r="C101" s="16">
        <v>33.02</v>
      </c>
      <c r="D101" s="16">
        <v>2065</v>
      </c>
      <c r="E101" s="16">
        <v>431</v>
      </c>
      <c r="F101" s="16">
        <v>38</v>
      </c>
      <c r="G101" s="16">
        <v>38</v>
      </c>
      <c r="H101" s="16">
        <v>19672</v>
      </c>
      <c r="I101" s="16">
        <v>72537</v>
      </c>
      <c r="J101" s="16">
        <v>303.41</v>
      </c>
      <c r="K101" s="16">
        <v>3.32</v>
      </c>
      <c r="L101" s="16">
        <v>3869</v>
      </c>
      <c r="M101" s="16">
        <v>1</v>
      </c>
      <c r="N101" s="16" t="s">
        <v>54</v>
      </c>
      <c r="O101" s="16" t="s">
        <v>50</v>
      </c>
    </row>
    <row r="102" spans="1:15" x14ac:dyDescent="0.25">
      <c r="A102" s="16" t="s">
        <v>169</v>
      </c>
      <c r="B102" s="16">
        <v>201.6</v>
      </c>
      <c r="C102" s="16">
        <v>32.86</v>
      </c>
      <c r="D102" s="16">
        <v>2120</v>
      </c>
      <c r="E102" s="16">
        <v>265</v>
      </c>
      <c r="F102" s="16">
        <v>38</v>
      </c>
      <c r="G102" s="16">
        <v>38</v>
      </c>
      <c r="H102" s="16">
        <v>19800</v>
      </c>
      <c r="I102" s="16">
        <v>73299</v>
      </c>
      <c r="J102" s="16">
        <v>305.9</v>
      </c>
      <c r="K102" s="16">
        <v>2.05</v>
      </c>
      <c r="L102" s="16">
        <v>3909</v>
      </c>
      <c r="M102" s="16">
        <v>1</v>
      </c>
      <c r="N102" s="16" t="s">
        <v>58</v>
      </c>
      <c r="O102" s="16" t="s">
        <v>50</v>
      </c>
    </row>
    <row r="103" spans="1:15" x14ac:dyDescent="0.25">
      <c r="A103" s="16" t="s">
        <v>170</v>
      </c>
      <c r="B103" s="16">
        <v>203.7</v>
      </c>
      <c r="C103" s="16">
        <v>33.28</v>
      </c>
      <c r="D103" s="16">
        <v>1464</v>
      </c>
      <c r="E103" s="16">
        <v>236</v>
      </c>
      <c r="F103" s="16">
        <v>38</v>
      </c>
      <c r="G103" s="16">
        <v>38</v>
      </c>
      <c r="H103" s="16">
        <v>20054</v>
      </c>
      <c r="I103" s="16">
        <v>74172</v>
      </c>
      <c r="J103" s="16">
        <v>310.75</v>
      </c>
      <c r="K103" s="16">
        <v>3.98</v>
      </c>
      <c r="L103" s="16">
        <v>3949</v>
      </c>
      <c r="M103" s="16">
        <v>1</v>
      </c>
      <c r="N103" s="16" t="s">
        <v>47</v>
      </c>
      <c r="O103" s="16" t="s">
        <v>50</v>
      </c>
    </row>
    <row r="104" spans="1:15" x14ac:dyDescent="0.25">
      <c r="A104" s="16" t="s">
        <v>171</v>
      </c>
      <c r="B104" s="16">
        <v>205.7</v>
      </c>
      <c r="C104" s="16">
        <v>32.84</v>
      </c>
      <c r="D104" s="16">
        <v>2266</v>
      </c>
      <c r="E104" s="16">
        <v>375</v>
      </c>
      <c r="F104" s="16">
        <v>38</v>
      </c>
      <c r="G104" s="16">
        <v>38</v>
      </c>
      <c r="H104" s="16">
        <v>20222</v>
      </c>
      <c r="I104" s="16">
        <v>74955</v>
      </c>
      <c r="J104" s="16">
        <v>313.08</v>
      </c>
      <c r="K104" s="16">
        <v>1.91</v>
      </c>
      <c r="L104" s="16">
        <v>3989</v>
      </c>
      <c r="M104" s="16">
        <v>1</v>
      </c>
      <c r="N104" s="16" t="s">
        <v>100</v>
      </c>
      <c r="O104" s="16" t="s">
        <v>50</v>
      </c>
    </row>
    <row r="105" spans="1:15" x14ac:dyDescent="0.25">
      <c r="A105" s="16" t="s">
        <v>172</v>
      </c>
      <c r="B105" s="16">
        <v>207.7</v>
      </c>
      <c r="C105" s="16">
        <v>32.96</v>
      </c>
      <c r="D105" s="16">
        <v>1991</v>
      </c>
      <c r="E105" s="16">
        <v>364</v>
      </c>
      <c r="F105" s="16">
        <v>38</v>
      </c>
      <c r="G105" s="16">
        <v>38</v>
      </c>
      <c r="H105" s="16">
        <v>20402</v>
      </c>
      <c r="I105" s="16">
        <v>75743</v>
      </c>
      <c r="J105" s="16">
        <v>315.84</v>
      </c>
      <c r="K105" s="16">
        <v>2.27</v>
      </c>
      <c r="L105" s="16">
        <v>4029</v>
      </c>
      <c r="M105" s="16">
        <v>1</v>
      </c>
      <c r="N105" s="16" t="s">
        <v>62</v>
      </c>
      <c r="O105" s="16" t="s">
        <v>50</v>
      </c>
    </row>
    <row r="106" spans="1:15" x14ac:dyDescent="0.25">
      <c r="A106" s="16" t="s">
        <v>173</v>
      </c>
      <c r="B106" s="16">
        <v>209.7</v>
      </c>
      <c r="C106" s="16">
        <v>33.38</v>
      </c>
      <c r="D106" s="16">
        <v>2405</v>
      </c>
      <c r="E106" s="16">
        <v>520</v>
      </c>
      <c r="F106" s="16">
        <v>38</v>
      </c>
      <c r="G106" s="16">
        <v>38</v>
      </c>
      <c r="H106" s="16">
        <v>20536</v>
      </c>
      <c r="I106" s="16">
        <v>76291</v>
      </c>
      <c r="J106" s="16">
        <v>318.38</v>
      </c>
      <c r="K106" s="16">
        <v>2.09</v>
      </c>
      <c r="L106" s="16">
        <v>4070</v>
      </c>
      <c r="M106" s="16">
        <v>1</v>
      </c>
      <c r="N106" s="16" t="s">
        <v>87</v>
      </c>
      <c r="O106" s="16" t="s">
        <v>50</v>
      </c>
    </row>
    <row r="107" spans="1:15" x14ac:dyDescent="0.25">
      <c r="A107" s="16" t="s">
        <v>174</v>
      </c>
      <c r="B107" s="16">
        <v>211.8</v>
      </c>
      <c r="C107" s="16">
        <v>32.31</v>
      </c>
      <c r="D107" s="16">
        <v>1407</v>
      </c>
      <c r="E107" s="16">
        <v>226</v>
      </c>
      <c r="F107" s="16">
        <v>38</v>
      </c>
      <c r="G107" s="16">
        <v>38</v>
      </c>
      <c r="H107" s="16">
        <v>20814</v>
      </c>
      <c r="I107" s="16">
        <v>77197</v>
      </c>
      <c r="J107" s="16">
        <v>322.46</v>
      </c>
      <c r="K107" s="16">
        <v>3.36</v>
      </c>
      <c r="L107" s="16">
        <v>4110</v>
      </c>
      <c r="M107" s="16">
        <v>1</v>
      </c>
      <c r="N107" s="16" t="s">
        <v>76</v>
      </c>
      <c r="O107" s="16" t="s">
        <v>50</v>
      </c>
    </row>
    <row r="108" spans="1:15" x14ac:dyDescent="0.25">
      <c r="A108" s="16" t="s">
        <v>175</v>
      </c>
      <c r="B108" s="16">
        <v>213.8</v>
      </c>
      <c r="C108" s="16">
        <v>33.21</v>
      </c>
      <c r="D108" s="16">
        <v>2529</v>
      </c>
      <c r="E108" s="16">
        <v>514</v>
      </c>
      <c r="F108" s="16">
        <v>38</v>
      </c>
      <c r="G108" s="16">
        <v>38</v>
      </c>
      <c r="H108" s="16">
        <v>20976</v>
      </c>
      <c r="I108" s="16">
        <v>77780</v>
      </c>
      <c r="J108" s="16">
        <v>325.37</v>
      </c>
      <c r="K108" s="16">
        <v>2.39</v>
      </c>
      <c r="L108" s="16">
        <v>4150</v>
      </c>
      <c r="M108" s="16">
        <v>1</v>
      </c>
      <c r="N108" s="16" t="s">
        <v>109</v>
      </c>
      <c r="O108" s="16" t="s">
        <v>50</v>
      </c>
    </row>
    <row r="109" spans="1:15" x14ac:dyDescent="0.25">
      <c r="A109" s="16" t="s">
        <v>176</v>
      </c>
      <c r="B109" s="16">
        <v>215.8</v>
      </c>
      <c r="C109" s="16">
        <v>33.16</v>
      </c>
      <c r="D109" s="16">
        <v>2065</v>
      </c>
      <c r="E109" s="16">
        <v>431</v>
      </c>
      <c r="F109" s="16">
        <v>38</v>
      </c>
      <c r="G109" s="16">
        <v>38</v>
      </c>
      <c r="H109" s="16">
        <v>21137</v>
      </c>
      <c r="I109" s="16">
        <v>78516</v>
      </c>
      <c r="J109" s="16">
        <v>328.26</v>
      </c>
      <c r="K109" s="16">
        <v>2.38</v>
      </c>
      <c r="L109" s="16">
        <v>4191</v>
      </c>
      <c r="M109" s="16">
        <v>1</v>
      </c>
      <c r="N109" s="16" t="s">
        <v>54</v>
      </c>
      <c r="O109" s="16" t="s">
        <v>50</v>
      </c>
    </row>
    <row r="110" spans="1:15" x14ac:dyDescent="0.25">
      <c r="A110" s="16" t="s">
        <v>177</v>
      </c>
      <c r="B110" s="16">
        <v>217.8</v>
      </c>
      <c r="C110" s="16">
        <v>33.15</v>
      </c>
      <c r="D110" s="16">
        <v>1498</v>
      </c>
      <c r="E110" s="16">
        <v>246</v>
      </c>
      <c r="F110" s="16">
        <v>38</v>
      </c>
      <c r="G110" s="16">
        <v>38</v>
      </c>
      <c r="H110" s="16">
        <v>21410</v>
      </c>
      <c r="I110" s="16">
        <v>79291</v>
      </c>
      <c r="J110" s="16">
        <v>332.57</v>
      </c>
      <c r="K110" s="16">
        <v>3.54</v>
      </c>
      <c r="L110" s="16">
        <v>4231</v>
      </c>
      <c r="M110" s="16">
        <v>1</v>
      </c>
      <c r="N110" s="16" t="s">
        <v>47</v>
      </c>
      <c r="O110" s="16" t="s">
        <v>50</v>
      </c>
    </row>
    <row r="111" spans="1:15" x14ac:dyDescent="0.25">
      <c r="A111" s="16" t="s">
        <v>178</v>
      </c>
      <c r="B111" s="16">
        <v>219.9</v>
      </c>
      <c r="C111" s="16">
        <v>32.84</v>
      </c>
      <c r="D111" s="16">
        <v>2066</v>
      </c>
      <c r="E111" s="16">
        <v>370</v>
      </c>
      <c r="F111" s="16">
        <v>38</v>
      </c>
      <c r="G111" s="16">
        <v>38</v>
      </c>
      <c r="H111" s="16">
        <v>21658</v>
      </c>
      <c r="I111" s="16">
        <v>80100</v>
      </c>
      <c r="J111" s="16">
        <v>336.68</v>
      </c>
      <c r="K111" s="16">
        <v>3.38</v>
      </c>
      <c r="L111" s="16">
        <v>4272</v>
      </c>
      <c r="M111" s="16">
        <v>1</v>
      </c>
      <c r="N111" s="16" t="s">
        <v>87</v>
      </c>
      <c r="O111" s="16" t="s">
        <v>50</v>
      </c>
    </row>
    <row r="112" spans="1:15" x14ac:dyDescent="0.25">
      <c r="A112" s="16" t="s">
        <v>179</v>
      </c>
      <c r="B112" s="16">
        <v>221.9</v>
      </c>
      <c r="C112" s="16">
        <v>32.96</v>
      </c>
      <c r="D112" s="16">
        <v>2074</v>
      </c>
      <c r="E112" s="16">
        <v>380</v>
      </c>
      <c r="F112" s="16">
        <v>38</v>
      </c>
      <c r="G112" s="16">
        <v>38</v>
      </c>
      <c r="H112" s="16">
        <v>21887</v>
      </c>
      <c r="I112" s="16">
        <v>80950</v>
      </c>
      <c r="J112" s="16">
        <v>340.43</v>
      </c>
      <c r="K112" s="16">
        <v>3.09</v>
      </c>
      <c r="L112" s="16">
        <v>4312</v>
      </c>
      <c r="M112" s="16">
        <v>1</v>
      </c>
      <c r="N112" s="16" t="s">
        <v>87</v>
      </c>
      <c r="O112" s="16" t="s">
        <v>50</v>
      </c>
    </row>
    <row r="113" spans="1:15" x14ac:dyDescent="0.25">
      <c r="A113" s="16" t="s">
        <v>180</v>
      </c>
      <c r="B113" s="16">
        <v>223.9</v>
      </c>
      <c r="C113" s="16">
        <v>32.79</v>
      </c>
      <c r="D113" s="16">
        <v>1970</v>
      </c>
      <c r="E113" s="16">
        <v>342</v>
      </c>
      <c r="F113" s="16">
        <v>38</v>
      </c>
      <c r="G113" s="16">
        <v>38</v>
      </c>
      <c r="H113" s="16">
        <v>22106</v>
      </c>
      <c r="I113" s="16">
        <v>81766</v>
      </c>
      <c r="J113" s="16">
        <v>344.14</v>
      </c>
      <c r="K113" s="16">
        <v>3.06</v>
      </c>
      <c r="L113" s="16">
        <v>4353</v>
      </c>
      <c r="M113" s="16">
        <v>1</v>
      </c>
      <c r="N113" s="16" t="s">
        <v>62</v>
      </c>
      <c r="O113" s="16" t="s">
        <v>50</v>
      </c>
    </row>
    <row r="114" spans="1:15" x14ac:dyDescent="0.25">
      <c r="A114" s="16" t="s">
        <v>181</v>
      </c>
      <c r="B114" s="16">
        <v>225.9</v>
      </c>
      <c r="C114" s="16">
        <v>33.03</v>
      </c>
      <c r="D114" s="16">
        <v>2003</v>
      </c>
      <c r="E114" s="16">
        <v>415</v>
      </c>
      <c r="F114" s="16">
        <v>38</v>
      </c>
      <c r="G114" s="16">
        <v>38</v>
      </c>
      <c r="H114" s="16">
        <v>22250</v>
      </c>
      <c r="I114" s="16">
        <v>82458</v>
      </c>
      <c r="J114" s="16">
        <v>346.82</v>
      </c>
      <c r="K114" s="16">
        <v>2.21</v>
      </c>
      <c r="L114" s="16">
        <v>4393</v>
      </c>
      <c r="M114" s="16">
        <v>1</v>
      </c>
      <c r="N114" s="16" t="s">
        <v>66</v>
      </c>
      <c r="O114" s="16" t="s">
        <v>50</v>
      </c>
    </row>
    <row r="115" spans="1:15" x14ac:dyDescent="0.25">
      <c r="A115" s="16" t="s">
        <v>182</v>
      </c>
      <c r="B115" s="16">
        <v>228</v>
      </c>
      <c r="C115" s="16">
        <v>33.28</v>
      </c>
      <c r="D115" s="16">
        <v>1493</v>
      </c>
      <c r="E115" s="16">
        <v>250</v>
      </c>
      <c r="F115" s="16">
        <v>38</v>
      </c>
      <c r="G115" s="16">
        <v>38</v>
      </c>
      <c r="H115" s="16">
        <v>22414</v>
      </c>
      <c r="I115" s="16">
        <v>83133</v>
      </c>
      <c r="J115" s="16">
        <v>349.39</v>
      </c>
      <c r="K115" s="16">
        <v>2.11</v>
      </c>
      <c r="L115" s="16">
        <v>4434</v>
      </c>
      <c r="M115" s="16">
        <v>1</v>
      </c>
      <c r="N115" s="16" t="s">
        <v>47</v>
      </c>
      <c r="O115" s="16" t="s">
        <v>50</v>
      </c>
    </row>
    <row r="116" spans="1:15" x14ac:dyDescent="0.25">
      <c r="A116" s="16" t="s">
        <v>183</v>
      </c>
      <c r="B116" s="16">
        <v>230</v>
      </c>
      <c r="C116" s="16">
        <v>33.4</v>
      </c>
      <c r="D116" s="16">
        <v>2083</v>
      </c>
      <c r="E116" s="16">
        <v>441</v>
      </c>
      <c r="F116" s="16">
        <v>38</v>
      </c>
      <c r="G116" s="16">
        <v>38</v>
      </c>
      <c r="H116" s="16">
        <v>22530</v>
      </c>
      <c r="I116" s="16">
        <v>83847</v>
      </c>
      <c r="J116" s="16">
        <v>352.26</v>
      </c>
      <c r="K116" s="16">
        <v>2.36</v>
      </c>
      <c r="L116" s="16">
        <v>4474</v>
      </c>
      <c r="M116" s="16">
        <v>1</v>
      </c>
      <c r="N116" s="16" t="s">
        <v>54</v>
      </c>
      <c r="O116" s="16" t="s">
        <v>50</v>
      </c>
    </row>
    <row r="117" spans="1:15" x14ac:dyDescent="0.25">
      <c r="A117" s="16" t="s">
        <v>184</v>
      </c>
      <c r="B117" s="16">
        <v>232</v>
      </c>
      <c r="C117" s="16">
        <v>33.24</v>
      </c>
      <c r="D117" s="16">
        <v>2164</v>
      </c>
      <c r="E117" s="16">
        <v>281</v>
      </c>
      <c r="F117" s="16">
        <v>38</v>
      </c>
      <c r="G117" s="16">
        <v>38</v>
      </c>
      <c r="H117" s="16">
        <v>22768</v>
      </c>
      <c r="I117" s="16">
        <v>84563</v>
      </c>
      <c r="J117" s="16">
        <v>355.47</v>
      </c>
      <c r="K117" s="16">
        <v>2.65</v>
      </c>
      <c r="L117" s="16">
        <v>4515</v>
      </c>
      <c r="M117" s="16">
        <v>1</v>
      </c>
      <c r="N117" s="16" t="s">
        <v>58</v>
      </c>
      <c r="O117" s="16" t="s">
        <v>50</v>
      </c>
    </row>
    <row r="118" spans="1:15" x14ac:dyDescent="0.25">
      <c r="A118" s="16" t="s">
        <v>185</v>
      </c>
      <c r="B118" s="16">
        <v>234</v>
      </c>
      <c r="C118" s="16">
        <v>32.99</v>
      </c>
      <c r="D118" s="16">
        <v>2108</v>
      </c>
      <c r="E118" s="16">
        <v>262</v>
      </c>
      <c r="F118" s="16">
        <v>38</v>
      </c>
      <c r="G118" s="16">
        <v>38</v>
      </c>
      <c r="H118" s="16">
        <v>22955</v>
      </c>
      <c r="I118" s="16">
        <v>85288</v>
      </c>
      <c r="J118" s="16">
        <v>358.26</v>
      </c>
      <c r="K118" s="16">
        <v>2.29</v>
      </c>
      <c r="L118" s="16">
        <v>4555</v>
      </c>
      <c r="M118" s="16">
        <v>1</v>
      </c>
      <c r="N118" s="16" t="s">
        <v>58</v>
      </c>
      <c r="O118" s="16" t="s">
        <v>50</v>
      </c>
    </row>
    <row r="119" spans="1:15" x14ac:dyDescent="0.25">
      <c r="A119" s="16" t="s">
        <v>186</v>
      </c>
      <c r="B119" s="16">
        <v>236.1</v>
      </c>
      <c r="C119" s="16">
        <v>32.97</v>
      </c>
      <c r="D119" s="16">
        <v>2255</v>
      </c>
      <c r="E119" s="16">
        <v>365</v>
      </c>
      <c r="F119" s="16">
        <v>38</v>
      </c>
      <c r="G119" s="16">
        <v>38</v>
      </c>
      <c r="H119" s="16">
        <v>23197</v>
      </c>
      <c r="I119" s="16">
        <v>86108</v>
      </c>
      <c r="J119" s="16">
        <v>362</v>
      </c>
      <c r="K119" s="16">
        <v>3.08</v>
      </c>
      <c r="L119" s="16">
        <v>4595</v>
      </c>
      <c r="M119" s="16">
        <v>1</v>
      </c>
      <c r="N119" s="16" t="s">
        <v>100</v>
      </c>
      <c r="O119" s="16" t="s">
        <v>50</v>
      </c>
    </row>
    <row r="120" spans="1:15" x14ac:dyDescent="0.25">
      <c r="A120" s="16" t="s">
        <v>187</v>
      </c>
      <c r="B120" s="16">
        <v>238.1</v>
      </c>
      <c r="C120" s="16">
        <v>33.32</v>
      </c>
      <c r="D120" s="16">
        <v>2092</v>
      </c>
      <c r="E120" s="16">
        <v>397</v>
      </c>
      <c r="F120" s="16">
        <v>38</v>
      </c>
      <c r="G120" s="16">
        <v>38</v>
      </c>
      <c r="H120" s="16">
        <v>23421</v>
      </c>
      <c r="I120" s="16">
        <v>86995</v>
      </c>
      <c r="J120" s="16">
        <v>364.92</v>
      </c>
      <c r="K120" s="16">
        <v>2.4</v>
      </c>
      <c r="L120" s="16">
        <v>4636</v>
      </c>
      <c r="M120" s="16">
        <v>1</v>
      </c>
      <c r="N120" s="16" t="s">
        <v>93</v>
      </c>
      <c r="O120" s="16" t="s">
        <v>50</v>
      </c>
    </row>
    <row r="121" spans="1:15" x14ac:dyDescent="0.25">
      <c r="A121" s="15" t="s">
        <v>188</v>
      </c>
      <c r="B121" s="15">
        <v>240</v>
      </c>
      <c r="C121" s="15">
        <v>32.96</v>
      </c>
      <c r="D121" s="15">
        <v>1465</v>
      </c>
      <c r="E121" s="15">
        <v>236</v>
      </c>
      <c r="F121" s="15">
        <v>38</v>
      </c>
      <c r="G121" s="15">
        <v>38</v>
      </c>
      <c r="H121" s="15">
        <v>23609</v>
      </c>
      <c r="I121" s="15">
        <v>87773</v>
      </c>
      <c r="J121" s="15">
        <v>369.87</v>
      </c>
      <c r="K121" s="15">
        <v>0.4</v>
      </c>
      <c r="L121" s="15">
        <v>4674</v>
      </c>
      <c r="M121" s="15">
        <v>1</v>
      </c>
      <c r="N121" s="15" t="s">
        <v>47</v>
      </c>
      <c r="O121" s="15" t="s">
        <v>189</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
  <sheetFormatPr defaultRowHeight="15" outlineLevelRow="0" outlineLevelCol="0" x14ac:dyDescent="55"/>
  <cols>
    <col min="1" max="1" width="38" customWidth="1"/>
    <col min="2" max="3" width="20" customWidth="1"/>
    <col min="4" max="4" width="34" customWidth="1"/>
    <col min="5" max="5" width="36" customWidth="1"/>
    <col min="6" max="6" width="10" customWidth="1"/>
  </cols>
  <sheetData>
    <row r="1" spans="1:6" x14ac:dyDescent="0.25">
      <c r="A1" s="1" t="s">
        <v>0</v>
      </c>
      <c r="B1" s="1"/>
      <c r="C1" s="1"/>
      <c r="D1" s="1"/>
      <c r="E1" s="1"/>
      <c r="F1" s="1"/>
    </row>
    <row r="2" spans="1:6" x14ac:dyDescent="0.25">
      <c r="A2" s="2" t="s">
        <v>1</v>
      </c>
      <c r="B2" s="2"/>
      <c r="C2" s="2"/>
      <c r="D2" s="2"/>
      <c r="E2" s="2"/>
      <c r="F2" s="2"/>
    </row>
    <row r="4" ht="20" customHeight="1" spans="1:6" x14ac:dyDescent="0.25">
      <c r="A4" s="3" t="s">
        <v>2</v>
      </c>
      <c r="B4" s="4" t="s">
        <v>3</v>
      </c>
      <c r="C4" s="4" t="s">
        <v>4</v>
      </c>
      <c r="D4" s="4" t="s">
        <v>5</v>
      </c>
      <c r="E4" s="3" t="s">
        <v>6</v>
      </c>
      <c r="F4" s="4" t="s">
        <v>7</v>
      </c>
    </row>
    <row r="5" ht="18" customHeight="1" spans="1:6" x14ac:dyDescent="0.25">
      <c r="A5" s="5" t="s">
        <v>8</v>
      </c>
      <c r="B5" s="6">
        <f>='Samples (2-min)'!C2</f>
        <v>22.62</v>
      </c>
      <c r="C5" s="6">
        <f>='Samples (2-min)'!C121</f>
        <v>32.96</v>
      </c>
      <c r="D5" s="7" t="str">
        <f>=TEXT(C5-B5,"+0.00;-0.00")&amp;" MB / "&amp;TEXT((C5-B5)/B5,"+0.0%;-0.0%")</f>
        <v>+10.34 MB / +45.7%</v>
      </c>
      <c r="E5" s="5" t="s">
        <v>9</v>
      </c>
      <c r="F5" s="8" t="str">
        <f>=IF(OR(C5-B5&lt;=10,(C5-B5)/B5&lt;=0.1),"PASS","FAIL")</f>
        <v>FAIL</v>
      </c>
    </row>
    <row r="6" ht="18" customHeight="1" spans="1:6" x14ac:dyDescent="0.25">
      <c r="A6" s="5" t="s">
        <v>10</v>
      </c>
      <c r="B6" s="6">
        <v>0.3093196600674169</v>
      </c>
      <c r="C6" s="6">
        <v>0.1019403857393339</v>
      </c>
      <c r="D6" s="7" t="s">
        <v>11</v>
      </c>
      <c r="E6" s="5" t="s">
        <v>12</v>
      </c>
      <c r="F6" s="9" t="str">
        <f>=IF(OR(B6&lt;=1,C6&lt;=1),"PASS","FAIL")</f>
        <v>PASS</v>
      </c>
    </row>
    <row r="7" ht="18" customHeight="1" spans="1:6" x14ac:dyDescent="0.25">
      <c r="A7" s="5" t="s">
        <v>13</v>
      </c>
      <c r="B7" s="10">
        <f>='Samples (2-min)'!D2</f>
        <v>1432</v>
      </c>
      <c r="C7" s="10">
        <f>='Samples (2-min)'!D121</f>
        <v>1465</v>
      </c>
      <c r="D7" s="7" t="str">
        <f>=TEXT(C7-B7,"+0;-0")&amp;" / "&amp;TEXT((C7-B7)/B7,"+0.0%;-0.0%")</f>
        <v>+33 / +2.3%</v>
      </c>
      <c r="E7" s="5" t="s">
        <v>14</v>
      </c>
      <c r="F7" s="9" t="str">
        <f>=IF(OR(C7-B7&lt;=100,(C7-B7)/B7&lt;=0.05),"PASS","FAIL")</f>
        <v>PASS</v>
      </c>
    </row>
    <row r="8" ht="18" customHeight="1" spans="1:6" x14ac:dyDescent="0.25">
      <c r="A8" s="5" t="s">
        <v>15</v>
      </c>
      <c r="B8" s="10">
        <f>='Samples (2-min)'!E2</f>
        <v>235</v>
      </c>
      <c r="C8" s="10">
        <f>='Samples (2-min)'!E121</f>
        <v>236</v>
      </c>
      <c r="D8" s="7" t="str">
        <f>=TEXT(C8-B8,"+0;-0")&amp;" / "&amp;TEXT((C8-B8)/B8,"+0.0%;-0.0%")</f>
        <v>+1 / +0.4%</v>
      </c>
      <c r="E8" s="5" t="s">
        <v>16</v>
      </c>
      <c r="F8" s="9" t="str">
        <f>=IF(OR(C8-B8&lt;=20,(C8-B8)/B8&lt;=0.05),"PASS","FAIL")</f>
        <v>PASS</v>
      </c>
    </row>
    <row r="9" ht="18" customHeight="1" spans="1:6" x14ac:dyDescent="0.25">
      <c r="A9" s="5" t="s">
        <v>17</v>
      </c>
      <c r="B9" s="7" t="s">
        <v>18</v>
      </c>
      <c r="C9" s="7" t="s">
        <v>18</v>
      </c>
      <c r="D9" s="7" t="s">
        <v>19</v>
      </c>
      <c r="E9" s="5" t="s">
        <v>20</v>
      </c>
      <c r="F9" s="9" t="str">
        <f>=IF(AND('Samples (2-min)'!F121&lt;='Samples (2-min)'!F2,'Samples (2-min)'!G121&lt;='Samples (2-min)'!G2),"PASS","FAIL")</f>
        <v>PASS</v>
      </c>
    </row>
    <row r="10" ht="18" customHeight="1" spans="1:6" x14ac:dyDescent="0.25">
      <c r="A10" s="5" t="s">
        <v>21</v>
      </c>
      <c r="B10" s="11">
        <v>0.0052</v>
      </c>
      <c r="C10" s="11">
        <v>0.004</v>
      </c>
      <c r="D10" s="7" t="str">
        <f>=TEXT((C10-B10)*100,"+0.00;-0.00")&amp;" percentage points"</f>
        <v>-0.12 percentage points</v>
      </c>
      <c r="E10" s="5" t="s">
        <v>22</v>
      </c>
      <c r="F10" s="9" t="str">
        <f>=IF(C10&lt;=0.05,"PASS","FAIL")</f>
        <v>PASS</v>
      </c>
    </row>
    <row r="11" ht="18" customHeight="1" spans="1:6" x14ac:dyDescent="0.25">
      <c r="A11" s="5" t="s">
        <v>23</v>
      </c>
      <c r="B11" s="10">
        <v>1126</v>
      </c>
      <c r="C11" s="10">
        <v>1149</v>
      </c>
      <c r="D11" s="7" t="str">
        <f>=TEXT((C11-B11)/B11,"+0.0%;-0.0%")</f>
        <v>+2.0%</v>
      </c>
      <c r="E11" s="5" t="s">
        <v>24</v>
      </c>
      <c r="F11" s="9" t="str">
        <f>=IF((C11-B11)/B11&lt;=0.15,"PASS","FAIL")</f>
        <v>PASS</v>
      </c>
    </row>
    <row r="12" ht="18" customHeight="1" spans="1:6" x14ac:dyDescent="0.25">
      <c r="A12" s="5" t="s">
        <v>25</v>
      </c>
      <c r="B12" s="12" t="s">
        <v>26</v>
      </c>
      <c r="C12" s="12">
        <v>1</v>
      </c>
      <c r="D12" s="7" t="s">
        <v>27</v>
      </c>
      <c r="E12" s="5" t="s">
        <v>28</v>
      </c>
      <c r="F12" s="9" t="str">
        <f>=IF(C12&gt;=0.995,"PASS","FAIL")</f>
        <v>PASS</v>
      </c>
    </row>
    <row r="14" spans="1:6" x14ac:dyDescent="0.25">
      <c r="A14" s="13" t="s">
        <v>29</v>
      </c>
      <c r="B14" s="13"/>
      <c r="C14" s="13"/>
      <c r="D14" s="13"/>
      <c r="E14" s="13"/>
      <c r="F14" s="13"/>
    </row>
    <row r="16" spans="1:6" x14ac:dyDescent="0.25">
      <c r="A16" s="2" t="s">
        <v>30</v>
      </c>
      <c r="B16" s="2"/>
      <c r="C16" s="2"/>
      <c r="D16" s="2"/>
      <c r="E16" s="2"/>
      <c r="F16" s="2"/>
    </row>
  </sheetData>
  <mergeCells count="4">
    <mergeCell ref="A1:F1"/>
    <mergeCell ref="A2:F2"/>
    <mergeCell ref="A14:F14"/>
    <mergeCell ref="A16:F16"/>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FormatPr defaultRowHeight="15" outlineLevelRow="0" outlineLevelCol="0" x14ac:dyDescent="55"/>
  <cols>
    <col min="1" max="1" width="30" customWidth="1"/>
    <col min="2" max="2" width="110" customWidth="1"/>
  </cols>
  <sheetData>
    <row r="1" spans="1:2" x14ac:dyDescent="0.25">
      <c r="A1" s="17" t="s">
        <v>190</v>
      </c>
      <c r="B1" s="18" t="s">
        <v>191</v>
      </c>
    </row>
    <row r="2" spans="1:2" x14ac:dyDescent="0.25">
      <c r="A2" s="17" t="s">
        <v>192</v>
      </c>
      <c r="B2" s="18" t="s">
        <v>193</v>
      </c>
    </row>
    <row r="3" spans="1:2" x14ac:dyDescent="0.25">
      <c r="A3" s="17" t="s">
        <v>194</v>
      </c>
      <c r="B3" s="18" t="s">
        <v>195</v>
      </c>
    </row>
    <row r="4" spans="1:2" x14ac:dyDescent="0.25">
      <c r="A4" s="17" t="s">
        <v>196</v>
      </c>
      <c r="B4" s="18" t="s">
        <v>197</v>
      </c>
    </row>
    <row r="5" spans="1:2" x14ac:dyDescent="0.25">
      <c r="A5" s="17" t="s">
        <v>198</v>
      </c>
      <c r="B5" s="18" t="s">
        <v>199</v>
      </c>
    </row>
    <row r="6" spans="1:2" x14ac:dyDescent="0.25">
      <c r="A6" s="17" t="s">
        <v>21</v>
      </c>
      <c r="B6" s="18" t="s">
        <v>200</v>
      </c>
    </row>
    <row r="7" spans="1:2" x14ac:dyDescent="0.25">
      <c r="A7" s="17" t="s">
        <v>201</v>
      </c>
      <c r="B7" s="18" t="s">
        <v>202</v>
      </c>
    </row>
    <row r="8" spans="1:2" x14ac:dyDescent="0.25">
      <c r="A8" s="17" t="s">
        <v>203</v>
      </c>
      <c r="B8" s="18" t="s">
        <v>204</v>
      </c>
    </row>
    <row r="9" spans="1:2" x14ac:dyDescent="0.25">
      <c r="A9" s="17" t="s">
        <v>205</v>
      </c>
      <c r="B9" s="18" t="s">
        <v>206</v>
      </c>
    </row>
    <row r="10" spans="1:2" x14ac:dyDescent="0.25">
      <c r="A10" s="17" t="s">
        <v>207</v>
      </c>
      <c r="B10" s="18" t="s">
        <v>208</v>
      </c>
    </row>
    <row r="11" spans="1:2" x14ac:dyDescent="0.25">
      <c r="A11" s="17" t="s">
        <v>209</v>
      </c>
      <c r="B11" s="18" t="s">
        <v>210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Samples (2-min)</vt:lpstr>
      <vt:lpstr>Method &amp; Notes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perf-soak.js</dc:creator>
  <dc:title/>
  <dc:subject/>
  <dc:description/>
  <cp:keywords/>
  <cp:category/>
  <cp:lastModifiedBy>Unknown</cp:lastModifiedBy>
  <dcterms:created xsi:type="dcterms:W3CDTF">2026-09-27T07:22:52Z</dcterms:created>
  <dcterms:modified xsi:type="dcterms:W3CDTF">2026-09-27T07:22:52Z</dcterms:modified>
</cp:coreProperties>
</file>