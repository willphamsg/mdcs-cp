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2.xml" ContentType="application/vnd.openxmlformats-officedocument.spreadsheetml.worksheet+xml"/>
  <Override PartName="/xl/worksheets/sheet1.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2000" windowHeight="24000" activeTab="0"/>
  </bookViews>
  <sheets>
    <sheet sheetId="2" name="Summary" state="visible" r:id="rId4"/>
    <sheet sheetId="1" name="Samples (2-min)" state="visible" r:id="rId5"/>
    <sheet sheetId="3" name="Method &amp; Notes" state="visible" r:id="rId6"/>
  </sheets>
  <calcPr calcId="171027"/>
</workbook>
</file>

<file path=xl/sharedStrings.xml><?xml version="1.0" encoding="utf-8"?>
<sst xmlns="http://schemas.openxmlformats.org/spreadsheetml/2006/main" count="787" uniqueCount="333">
  <si>
    <t>MDCS 8-hour soak (2026-09-27) — results</t>
  </si>
  <si>
    <t>Soak: 480 min continuous Auto Click after warm-up · sampled every 2 min · T0 and T+1h are like-for-like readings on /mdcs/dashboard after forced GC (see Method &amp; Notes)</t>
  </si>
  <si>
    <t>Metric</t>
  </si>
  <si>
    <t>T0 Baseline</t>
  </si>
  <si>
    <t>T+1h</t>
  </si>
  <si>
    <t>Change T0 → T+1h</t>
  </si>
  <si>
    <t>Limit</t>
  </si>
  <si>
    <t>Result</t>
  </si>
  <si>
    <t>Post-GC JS Heap (MB)</t>
  </si>
  <si>
    <t>≤ +10 MB or +10%</t>
  </si>
  <si>
    <t>Heap Slope / Trend (MB per 10 cycles)</t>
  </si>
  <si>
    <t>whole run 0.10 → second half 0.05 MB/10 cycles; range 30.4–35.8 MB</t>
  </si>
  <si>
    <t>≤ 1 MB / 10 cycles, or a bounded plateau</t>
  </si>
  <si>
    <t>DOM Nodes</t>
  </si>
  <si>
    <t>≤ +100 or +5%</t>
  </si>
  <si>
    <t>Event Listeners</t>
  </si>
  <si>
    <t>≤ +20 or +5%</t>
  </si>
  <si>
    <t>Documents / Frames</t>
  </si>
  <si>
    <t>38 / 38</t>
  </si>
  <si>
    <t>+0 / +0</t>
  </si>
  <si>
    <t>No increase</t>
  </si>
  <si>
    <t>Idle CPU</t>
  </si>
  <si>
    <t>≤ 5%</t>
  </si>
  <si>
    <t>Median Cycle Runtime (ms CPU / cycle)</t>
  </si>
  <si>
    <t>≤ +15%</t>
  </si>
  <si>
    <t>Automation Reliability</t>
  </si>
  <si>
    <t>—</t>
  </si>
  <si>
    <t>0 stall(s), 0 continuity break(s), 9620 clicks</t>
  </si>
  <si>
    <t>≥ 99.5%</t>
  </si>
  <si>
    <t>OVERALL: all standards met.</t>
  </si>
  <si>
    <t>T0 and T+1h pull from the Samples sheet (bold rows); change and result cells are formulas, so editing a sample updates them.</t>
  </si>
  <si>
    <t>Time (UTC)</t>
  </si>
  <si>
    <t>Elapsed (min)</t>
  </si>
  <si>
    <t>JS heap (MB)</t>
  </si>
  <si>
    <t>Nodes</t>
  </si>
  <si>
    <t>Listeners</t>
  </si>
  <si>
    <t>Documents</t>
  </si>
  <si>
    <t>Frames</t>
  </si>
  <si>
    <t>Layouts</t>
  </si>
  <si>
    <t>Style recalcs</t>
  </si>
  <si>
    <t>Task duration (s)</t>
  </si>
  <si>
    <t>CPU % since last</t>
  </si>
  <si>
    <t>Clicks</t>
  </si>
  <si>
    <t>Tabs</t>
  </si>
  <si>
    <t>URL</t>
  </si>
  <si>
    <t>Note</t>
  </si>
  <si>
    <t>2026-09-27T07:53:32.615Z</t>
  </si>
  <si>
    <t>http://localhost:8035/mdcs/dashboard</t>
  </si>
  <si>
    <t>controlled-baseline (idle cpu)</t>
  </si>
  <si>
    <t>2026-09-27T07:57:57.550Z</t>
  </si>
  <si>
    <t/>
  </si>
  <si>
    <t>2026-09-27T07:59:58.970Z</t>
  </si>
  <si>
    <t>http://localhost:8035/mdcs/maintenance/eod-process</t>
  </si>
  <si>
    <t>2026-09-27T08:02:00.374Z</t>
  </si>
  <si>
    <t>http://localhost:8035/mdcs/bus-operation</t>
  </si>
  <si>
    <t>2026-09-27T08:04:02.215Z</t>
  </si>
  <si>
    <t>http://localhost:8035/mdcs/parameter-trial/end-trial</t>
  </si>
  <si>
    <t>2026-09-27T08:06:03.645Z</t>
  </si>
  <si>
    <t>2026-09-27T08:08:05.073Z</t>
  </si>
  <si>
    <t>http://localhost:8035/mdcs/bus-transfer</t>
  </si>
  <si>
    <t>2026-09-27T08:10:06.502Z</t>
  </si>
  <si>
    <t>http://localhost:8035/mdcs/parameter-trial/approval</t>
  </si>
  <si>
    <t>2026-09-27T08:12:07.916Z</t>
  </si>
  <si>
    <t>http://localhost:8035/mdcs/event-history</t>
  </si>
  <si>
    <t>2026-09-27T08:14:09.352Z</t>
  </si>
  <si>
    <t>2026-09-27T08:16:10.760Z</t>
  </si>
  <si>
    <t>http://localhost:8035/mdcs/parameter-viewer</t>
  </si>
  <si>
    <t>2026-09-27T08:18:12.695Z</t>
  </si>
  <si>
    <t>2026-09-27T08:20:14.160Z</t>
  </si>
  <si>
    <t>2026-09-27T08:22:15.579Z</t>
  </si>
  <si>
    <t>http://localhost:8035/mdcs/parameter-trial/trial-device-selection</t>
  </si>
  <si>
    <t>2026-09-27T08:24:17.498Z</t>
  </si>
  <si>
    <t>2026-09-27T08:26:18.942Z</t>
  </si>
  <si>
    <t>2026-09-27T08:28:20.876Z</t>
  </si>
  <si>
    <t>http://localhost:8035/mdcs/report/adhoc/bus-transfer-report</t>
  </si>
  <si>
    <t>2026-09-27T08:30:22.888Z</t>
  </si>
  <si>
    <t>http://localhost:8035/mdcs/parameter-trial/parameter-mode</t>
  </si>
  <si>
    <t>2026-09-27T08:32:24.318Z</t>
  </si>
  <si>
    <t>2026-09-27T08:34:26.334Z</t>
  </si>
  <si>
    <t>http://localhost:8035/mdcs/maintenance/diagnostics</t>
  </si>
  <si>
    <t>2026-09-27T08:36:28.325Z</t>
  </si>
  <si>
    <t>2026-09-27T08:38:29.764Z</t>
  </si>
  <si>
    <t>2026-09-27T08:40:31.811Z</t>
  </si>
  <si>
    <t>http://localhost:8035/mdcs/parameter-trial/parameter-version-summary</t>
  </si>
  <si>
    <t>2026-09-27T08:42:33.817Z</t>
  </si>
  <si>
    <t>2026-09-27T08:44:35.259Z</t>
  </si>
  <si>
    <t>2026-09-27T08:46:36.697Z</t>
  </si>
  <si>
    <t>2026-09-27T08:48:38.688Z</t>
  </si>
  <si>
    <t>http://localhost:8035/mdcs/bus-list</t>
  </si>
  <si>
    <t>2026-09-27T08:50:40.691Z</t>
  </si>
  <si>
    <t>2026-09-27T08:52:42.148Z</t>
  </si>
  <si>
    <t>2026-09-27T08:54:44.175Z</t>
  </si>
  <si>
    <t>2026-09-27T08:56:46.208Z</t>
  </si>
  <si>
    <t>http://localhost:8035/mdcs/card-key-version</t>
  </si>
  <si>
    <t>2026-09-27T08:58:47.653Z</t>
  </si>
  <si>
    <t>http://localhost:8035/mdcs/maintenance/audit-log</t>
  </si>
  <si>
    <t>2026-09-27T09:00:49.771Z</t>
  </si>
  <si>
    <t>2026-09-27T09:02:51.814Z</t>
  </si>
  <si>
    <t>2026-09-27T09:04:53.258Z</t>
  </si>
  <si>
    <t>2026-09-27T09:06:55.298Z</t>
  </si>
  <si>
    <t>http://localhost:8035/mdcs/dagw-parameter</t>
  </si>
  <si>
    <t>2026-09-27T09:08:57.323Z</t>
  </si>
  <si>
    <t>2026-09-27T09:10:58.772Z</t>
  </si>
  <si>
    <t>2026-09-27T09:13:00.222Z</t>
  </si>
  <si>
    <t>2026-09-27T09:15:02.412Z</t>
  </si>
  <si>
    <t>2026-09-27T09:17:03.860Z</t>
  </si>
  <si>
    <t>2026-09-27T09:19:05.345Z</t>
  </si>
  <si>
    <t>2026-09-27T09:21:06.854Z</t>
  </si>
  <si>
    <t>2026-09-27T09:23:08.699Z</t>
  </si>
  <si>
    <t>http://localhost:8035/mdcs/maintenance/system-information</t>
  </si>
  <si>
    <t>2026-09-27T09:25:10.654Z</t>
  </si>
  <si>
    <t>2026-09-27T09:27:12.146Z</t>
  </si>
  <si>
    <t>2026-09-27T09:29:14.236Z</t>
  </si>
  <si>
    <t>2026-09-27T09:31:16.190Z</t>
  </si>
  <si>
    <t>2026-09-27T09:33:17.680Z</t>
  </si>
  <si>
    <t>2026-09-27T09:35:19.685Z</t>
  </si>
  <si>
    <t>http://localhost:8035/mdcs/vehicle-list</t>
  </si>
  <si>
    <t>2026-09-27T09:37:21.681Z</t>
  </si>
  <si>
    <t>2026-09-27T09:39:23.171Z</t>
  </si>
  <si>
    <t>2026-09-27T09:41:24.672Z</t>
  </si>
  <si>
    <t>2026-09-27T09:43:26.587Z</t>
  </si>
  <si>
    <t>http://localhost:8035/mdcs/report/adhoc/bus-partial-upload-report</t>
  </si>
  <si>
    <t>2026-09-27T09:45:28.548Z</t>
  </si>
  <si>
    <t>2026-09-27T09:47:30.045Z</t>
  </si>
  <si>
    <t>2026-09-27T09:49:31.557Z</t>
  </si>
  <si>
    <t>2026-09-27T09:51:33.073Z</t>
  </si>
  <si>
    <t>2026-09-27T09:53:34.715Z</t>
  </si>
  <si>
    <t>2026-09-27T09:55:36.814Z</t>
  </si>
  <si>
    <t>2026-09-27T09:57:38.899Z</t>
  </si>
  <si>
    <t>2026-09-27T09:59:40.393Z</t>
  </si>
  <si>
    <t>2026-09-27T10:01:56.518Z</t>
  </si>
  <si>
    <t>2026-09-27T10:03:57.996Z</t>
  </si>
  <si>
    <t>2026-09-27T10:06:00.018Z</t>
  </si>
  <si>
    <t>2026-09-27T10:08:02.296Z</t>
  </si>
  <si>
    <t>2026-09-27T10:10:03.771Z</t>
  </si>
  <si>
    <t>2026-09-27T10:12:05.908Z</t>
  </si>
  <si>
    <t>2026-09-27T10:14:08.030Z</t>
  </si>
  <si>
    <t>2026-09-27T10:16:09.530Z</t>
  </si>
  <si>
    <t>2026-09-27T10:18:11.692Z</t>
  </si>
  <si>
    <t>2026-09-27T10:20:13.813Z</t>
  </si>
  <si>
    <t>2026-09-27T10:22:15.308Z</t>
  </si>
  <si>
    <t>2026-09-27T10:24:16.801Z</t>
  </si>
  <si>
    <t>2026-09-27T10:26:18.958Z</t>
  </si>
  <si>
    <t>2026-09-27T10:28:20.432Z</t>
  </si>
  <si>
    <t>http://localhost:8035/mdcs/notification-centre</t>
  </si>
  <si>
    <t>2026-09-27T10:30:21.924Z</t>
  </si>
  <si>
    <t>2026-09-27T10:32:24.143Z</t>
  </si>
  <si>
    <t>2026-09-27T10:34:25.646Z</t>
  </si>
  <si>
    <t>2026-09-27T10:36:27.128Z</t>
  </si>
  <si>
    <t>2026-09-27T10:38:29.336Z</t>
  </si>
  <si>
    <t>2026-09-27T10:40:30.871Z</t>
  </si>
  <si>
    <t>2026-09-27T10:42:32.354Z</t>
  </si>
  <si>
    <t>2026-09-27T10:44:34.667Z</t>
  </si>
  <si>
    <t>2026-09-27T10:46:36.146Z</t>
  </si>
  <si>
    <t>http://localhost:8035/mdcs/report/adhoc/bus-arrival-exception-list</t>
  </si>
  <si>
    <t>2026-09-27T10:48:37.648Z</t>
  </si>
  <si>
    <t>2026-09-27T10:50:39.973Z</t>
  </si>
  <si>
    <t>2026-09-27T10:52:41.469Z</t>
  </si>
  <si>
    <t>2026-09-27T10:54:42.966Z</t>
  </si>
  <si>
    <t>2026-09-27T10:56:45.300Z</t>
  </si>
  <si>
    <t>2026-09-27T10:58:46.796Z</t>
  </si>
  <si>
    <t>2026-09-27T11:00:49.135Z</t>
  </si>
  <si>
    <t>2026-09-27T11:02:51.495Z</t>
  </si>
  <si>
    <t>2026-09-27T11:04:52.986Z</t>
  </si>
  <si>
    <t>2026-09-27T11:06:55.396Z</t>
  </si>
  <si>
    <t>2026-09-27T11:08:57.832Z</t>
  </si>
  <si>
    <t>2026-09-27T11:10:59.369Z</t>
  </si>
  <si>
    <t>2026-09-27T11:13:01.833Z</t>
  </si>
  <si>
    <t>2026-09-27T11:15:04.192Z</t>
  </si>
  <si>
    <t>2026-09-27T11:17:05.714Z</t>
  </si>
  <si>
    <t>2026-09-27T11:19:08.236Z</t>
  </si>
  <si>
    <t>2026-09-27T11:21:10.573Z</t>
  </si>
  <si>
    <t>2026-09-27T11:23:12.083Z</t>
  </si>
  <si>
    <t>2026-09-27T11:25:14.402Z</t>
  </si>
  <si>
    <t>2026-09-27T11:27:16.733Z</t>
  </si>
  <si>
    <t>2026-09-27T11:29:18.339Z</t>
  </si>
  <si>
    <t>2026-09-27T11:31:20.788Z</t>
  </si>
  <si>
    <t>2026-09-27T11:33:23.155Z</t>
  </si>
  <si>
    <t>2026-09-27T11:35:24.663Z</t>
  </si>
  <si>
    <t>2026-09-27T11:37:27.097Z</t>
  </si>
  <si>
    <t>2026-09-27T11:39:29.518Z</t>
  </si>
  <si>
    <t>2026-09-27T11:41:31.042Z</t>
  </si>
  <si>
    <t>2026-09-27T11:43:33.402Z</t>
  </si>
  <si>
    <t>2026-09-27T11:45:35.821Z</t>
  </si>
  <si>
    <t>2026-09-27T11:47:37.312Z</t>
  </si>
  <si>
    <t>2026-09-27T11:49:39.752Z</t>
  </si>
  <si>
    <t>2026-09-27T11:51:42.197Z</t>
  </si>
  <si>
    <t>2026-09-27T11:53:43.707Z</t>
  </si>
  <si>
    <t>2026-09-27T11:55:46.076Z</t>
  </si>
  <si>
    <t>2026-09-27T11:57:48.477Z</t>
  </si>
  <si>
    <t>2026-09-27T11:59:49.997Z</t>
  </si>
  <si>
    <t>2026-09-27T12:01:58.667Z</t>
  </si>
  <si>
    <t>2026-09-27T12:04:00.185Z</t>
  </si>
  <si>
    <t>2026-09-27T12:06:02.697Z</t>
  </si>
  <si>
    <t>2026-09-27T12:08:04.227Z</t>
  </si>
  <si>
    <t>2026-09-27T12:10:05.721Z</t>
  </si>
  <si>
    <t>2026-09-27T12:12:08.215Z</t>
  </si>
  <si>
    <t>2026-09-27T12:14:09.733Z</t>
  </si>
  <si>
    <t>2026-09-27T12:16:12.232Z</t>
  </si>
  <si>
    <t>2026-09-27T12:18:13.739Z</t>
  </si>
  <si>
    <t>2026-09-27T12:20:16.218Z</t>
  </si>
  <si>
    <t>2026-09-27T12:22:17.745Z</t>
  </si>
  <si>
    <t>2026-09-27T12:24:19.253Z</t>
  </si>
  <si>
    <t>2026-09-27T12:26:21.779Z</t>
  </si>
  <si>
    <t>2026-09-27T12:28:23.292Z</t>
  </si>
  <si>
    <t>2026-09-27T12:30:25.760Z</t>
  </si>
  <si>
    <t>2026-09-27T12:32:28.236Z</t>
  </si>
  <si>
    <t>2026-09-27T12:34:29.761Z</t>
  </si>
  <si>
    <t>2026-09-27T12:36:32.312Z</t>
  </si>
  <si>
    <t>2026-09-27T12:38:34.281Z</t>
  </si>
  <si>
    <t>2026-09-27T12:40:35.794Z</t>
  </si>
  <si>
    <t>http://localhost:8035/mdcs/report/adhoc/bus-list-audit-trial</t>
  </si>
  <si>
    <t>2026-09-27T12:42:37.781Z</t>
  </si>
  <si>
    <t>2026-09-27T12:44:39.318Z</t>
  </si>
  <si>
    <t>2026-09-27T12:46:41.375Z</t>
  </si>
  <si>
    <t>2026-09-27T12:48:43.504Z</t>
  </si>
  <si>
    <t>2026-09-27T12:50:45.020Z</t>
  </si>
  <si>
    <t>2026-09-27T12:52:46.555Z</t>
  </si>
  <si>
    <t>2026-09-27T12:54:48.624Z</t>
  </si>
  <si>
    <t>2026-09-27T12:56:50.152Z</t>
  </si>
  <si>
    <t>2026-09-27T12:58:51.683Z</t>
  </si>
  <si>
    <t>2026-09-27T13:00:53.777Z</t>
  </si>
  <si>
    <t>2026-09-27T13:02:55.871Z</t>
  </si>
  <si>
    <t>2026-09-27T13:04:57.950Z</t>
  </si>
  <si>
    <t>2026-09-27T13:06:59.485Z</t>
  </si>
  <si>
    <t>2026-09-27T13:09:01.066Z</t>
  </si>
  <si>
    <t>2026-09-27T13:11:03.081Z</t>
  </si>
  <si>
    <t>2026-09-27T13:13:05.081Z</t>
  </si>
  <si>
    <t>2026-09-27T13:15:06.615Z</t>
  </si>
  <si>
    <t>2026-09-27T13:17:08.601Z</t>
  </si>
  <si>
    <t>2026-09-27T13:19:10.570Z</t>
  </si>
  <si>
    <t>2026-09-27T13:21:12.110Z</t>
  </si>
  <si>
    <t>2026-09-27T13:23:14.152Z</t>
  </si>
  <si>
    <t>2026-09-27T13:25:16.151Z</t>
  </si>
  <si>
    <t>2026-09-27T13:27:17.680Z</t>
  </si>
  <si>
    <t>2026-09-27T13:29:19.672Z</t>
  </si>
  <si>
    <t>2026-09-27T13:31:21.225Z</t>
  </si>
  <si>
    <t>2026-09-27T13:33:22.768Z</t>
  </si>
  <si>
    <t>2026-09-27T13:35:24.323Z</t>
  </si>
  <si>
    <t>2026-09-27T13:37:25.863Z</t>
  </si>
  <si>
    <t>2026-09-27T13:39:27.452Z</t>
  </si>
  <si>
    <t>2026-09-27T13:41:29.015Z</t>
  </si>
  <si>
    <t>2026-09-27T13:43:30.579Z</t>
  </si>
  <si>
    <t>2026-09-27T13:45:32.131Z</t>
  </si>
  <si>
    <t>2026-09-27T13:47:33.745Z</t>
  </si>
  <si>
    <t>2026-09-27T13:49:35.336Z</t>
  </si>
  <si>
    <t>2026-09-27T13:51:36.940Z</t>
  </si>
  <si>
    <t>2026-09-27T13:53:38.577Z</t>
  </si>
  <si>
    <t>2026-09-27T13:55:40.243Z</t>
  </si>
  <si>
    <t>2026-09-27T13:57:41.873Z</t>
  </si>
  <si>
    <t>2026-09-27T13:59:43.548Z</t>
  </si>
  <si>
    <t>2026-09-27T14:01:51.871Z</t>
  </si>
  <si>
    <t>2026-09-27T14:03:53.548Z</t>
  </si>
  <si>
    <t>http://localhost:8035/mdcs/report/daily-report/bus-list-audit-trial</t>
  </si>
  <si>
    <t>2026-09-27T14:05:55.224Z</t>
  </si>
  <si>
    <t>2026-09-27T14:07:56.874Z</t>
  </si>
  <si>
    <t>2026-09-27T14:09:58.544Z</t>
  </si>
  <si>
    <t>2026-09-27T14:12:00.242Z</t>
  </si>
  <si>
    <t>2026-09-27T14:14:01.930Z</t>
  </si>
  <si>
    <t>2026-09-27T14:16:03.612Z</t>
  </si>
  <si>
    <t>2026-09-27T14:18:05.282Z</t>
  </si>
  <si>
    <t>2026-09-27T14:20:06.978Z</t>
  </si>
  <si>
    <t>2026-09-27T14:22:08.624Z</t>
  </si>
  <si>
    <t>2026-09-27T14:24:10.335Z</t>
  </si>
  <si>
    <t>2026-09-27T14:26:11.995Z</t>
  </si>
  <si>
    <t>2026-09-27T14:28:13.666Z</t>
  </si>
  <si>
    <t>2026-09-27T14:30:15.367Z</t>
  </si>
  <si>
    <t>2026-09-27T14:32:17.063Z</t>
  </si>
  <si>
    <t>2026-09-27T14:34:18.692Z</t>
  </si>
  <si>
    <t>2026-09-27T14:36:20.333Z</t>
  </si>
  <si>
    <t>2026-09-27T14:38:21.967Z</t>
  </si>
  <si>
    <t>2026-09-27T14:40:23.639Z</t>
  </si>
  <si>
    <t>2026-09-27T14:42:25.273Z</t>
  </si>
  <si>
    <t>2026-09-27T14:44:26.963Z</t>
  </si>
  <si>
    <t>2026-09-27T14:46:28.658Z</t>
  </si>
  <si>
    <t>2026-09-27T14:48:30.795Z</t>
  </si>
  <si>
    <t>2026-09-27T14:50:32.567Z</t>
  </si>
  <si>
    <t>2026-09-27T14:52:34.320Z</t>
  </si>
  <si>
    <t>2026-09-27T14:54:36.175Z</t>
  </si>
  <si>
    <t>2026-09-27T14:56:37.960Z</t>
  </si>
  <si>
    <t>2026-09-27T14:58:39.696Z</t>
  </si>
  <si>
    <t>2026-09-27T15:00:41.526Z</t>
  </si>
  <si>
    <t>2026-09-27T15:02:43.276Z</t>
  </si>
  <si>
    <t>2026-09-27T15:04:45.017Z</t>
  </si>
  <si>
    <t>2026-09-27T15:06:46.847Z</t>
  </si>
  <si>
    <t>2026-09-27T15:08:48.673Z</t>
  </si>
  <si>
    <t>2026-09-27T15:10:50.482Z</t>
  </si>
  <si>
    <t>2026-09-27T15:12:52.265Z</t>
  </si>
  <si>
    <t>2026-09-27T15:14:54.067Z</t>
  </si>
  <si>
    <t>2026-09-27T15:16:55.831Z</t>
  </si>
  <si>
    <t>2026-09-27T15:18:57.623Z</t>
  </si>
  <si>
    <t>2026-09-27T15:20:59.438Z</t>
  </si>
  <si>
    <t>2026-09-27T15:23:01.081Z</t>
  </si>
  <si>
    <t>2026-09-27T15:25:02.663Z</t>
  </si>
  <si>
    <t>2026-09-27T15:27:04.255Z</t>
  </si>
  <si>
    <t>2026-09-27T15:29:05.864Z</t>
  </si>
  <si>
    <t>2026-09-27T15:31:07.483Z</t>
  </si>
  <si>
    <t>2026-09-27T15:33:09.059Z</t>
  </si>
  <si>
    <t>2026-09-27T15:35:10.656Z</t>
  </si>
  <si>
    <t>2026-09-27T15:37:12.240Z</t>
  </si>
  <si>
    <t>2026-09-27T15:39:13.859Z</t>
  </si>
  <si>
    <t>2026-09-27T15:41:15.447Z</t>
  </si>
  <si>
    <t>2026-09-27T15:43:17.063Z</t>
  </si>
  <si>
    <t>2026-09-27T15:45:18.674Z</t>
  </si>
  <si>
    <t>2026-09-27T15:47:20.286Z</t>
  </si>
  <si>
    <t>2026-09-27T15:49:21.884Z</t>
  </si>
  <si>
    <t>2026-09-27T15:51:23.506Z</t>
  </si>
  <si>
    <t>2026-09-27T15:53:25.112Z</t>
  </si>
  <si>
    <t>2026-09-27T15:55:26.736Z</t>
  </si>
  <si>
    <t>2026-09-27T15:57:28.328Z</t>
  </si>
  <si>
    <t>2026-09-27T15:58:18.903Z</t>
  </si>
  <si>
    <t>controlled-final (idle cpu)</t>
  </si>
  <si>
    <t>Procedure</t>
  </si>
  <si>
    <t>pnpm start:dummy + pnpm server:mdcs + pnpm ws:mdcs → sign in as supervisor/SBST → enable Auto Click → sample every 2 min for the duration. Driven by src/tools/perf-soak.js against headless Chrome.</t>
  </si>
  <si>
    <t>Metric source</t>
  </si>
  <si>
    <t>Chrome's Performance.getMetrics over CDP — the same counters the DevTools Performance Monitor panel renders (JSHeapUsedSize, Nodes, JSEventListeners, Documents, Frames, TaskDuration).</t>
  </si>
  <si>
    <t>Post-GC</t>
  </si>
  <si>
    <t>Every reading is taken after 3 rounds of HeapProfiler.collectGarbage + gc({type:"major"}). One round leaves hundreds of nodes uncollected, because Blink's node counter spans V8 and Oilpan and cross-heap wrappers take several cycles to free.</t>
  </si>
  <si>
    <t>Warm-up</t>
  </si>
  <si>
    <t>Before T0 the harness visits every MDCS route twice (in-app, no reloads) and runs Auto Click for a few minutes, so first-visit costs are part of the baseline rather than showing up as growth.</t>
  </si>
  <si>
    <t>Like-for-like T0 / T+1h</t>
  </si>
  <si>
    <t>Nodes and Documents/Frames swing by hundreds depending on which route is mounted, so both readings are taken on /mdcs/dashboard, reached by in-app navigation, with Auto Click off and after forced GC. The 2-min samples are taken wherever the clicker happens to be and show the in-soak trend.</t>
  </si>
  <si>
    <t>Main-thread TaskDuration over a 10 s window with Auto Click off, on the dashboard, immediately before each controlled reading.</t>
  </si>
  <si>
    <t>Heap slope</t>
  </si>
  <si>
    <t>Least-squares slope of post-GC heap across the in-soak samples; one cycle = one 2-min sample, so the figure is MB per 20 min. Whole run 0.10, second half 0.05. Passing on the second half means the heap climbed while V8 compiled the app's code and Angular built each screen's metadata, then held flat — a bounded plateau rather than ongoing growth.</t>
  </si>
  <si>
    <t>Median cycle runtime</t>
  </si>
  <si>
    <t>One cycle is a fixed in-app loop through 9 routes (/mdcs/bus-operation, /mdcs/bus-list, /mdcs/bus-transfer, /mdcs/report/daily-report/daily-bus-list-report, /mdcs/parameter-viewer, /mdcs/maintenance/audit-log, /mdcs/parameter-trial/parameter-mode, /mdcs/event-history, /mdcs/dashboard), run right after the T0 reading and again right after the final reading; the row compares median main-thread CPU per cycle. A fixed loop is used because a random auto-click costs anywhere from ~50 to ~170 ms depending on the page it lands on, so comparing random intervals measures the page mix rather than the app. The first cycle of each benchmark is discarded as warm-up for the loop itself. T0 measured runs (ms): 1196, 1149, 1241, 1167, 1128, 1104, 1105, 1091, 1098, 1060 (spread 16.2% of the median). Final measured runs (ms): 1285, 1266, 1150, 1279, 1165, 1186, 1147, 1161, 1124, 1116 (spread 14.5% of the median). Read any delta against that spread: a change smaller than it is measurement noise, not the app.</t>
  </si>
  <si>
    <t>Tab visibility</t>
  </si>
  <si>
    <t>The page must stay the visible, foreground tab: a hidden tab gets no animation frames, so rAF callbacks and CSS animations are never serviced and everything they reference piles up. The harness checks every 20 s and logs any hidden period in the Note column; the auto-clicker skips controls that open a new tab (DAMS, target=_blank links).</t>
  </si>
  <si>
    <t>Automation reliability</t>
  </si>
  <si>
    <t>Share of soak time the clicker was actively ticking. A watchdog checks every 20 s; a stall (no ticks for 30 s+) costs at most 60 s and is re-armed. Any session loss (page reload) is a continuity break and fails this row.</t>
  </si>
  <si>
    <t>Run</t>
  </si>
  <si>
    <t>Stalls: 0. Continuity breaks: 0. Total auto-clicks: 9620. In-soak samples: 237. Source CSV: warm8h.csv.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</si>
</sst>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7" x14ac:knownFonts="1">
    <font>
      <color theme="1"/>
      <family val="2"/>
      <scheme val="minor"/>
      <sz val="11"/>
      <name val="Calibri"/>
    </font>
    <font>
      <b/>
      <sz val="14"/>
      <name val="Arial"/>
    </font>
    <font>
      <i/>
      <color rgb="FF57706C"/>
      <sz val="10"/>
      <name val="Arial"/>
    </font>
    <font>
      <b/>
      <color rgb="FFFFFFFF"/>
      <sz val="10"/>
      <name val="Arial"/>
    </font>
    <font>
      <sz val="10"/>
      <name val="Arial"/>
    </font>
    <font>
      <b/>
      <sz val="10"/>
      <name val="Arial"/>
    </font>
    <font>
      <b/>
      <sz val="11"/>
      <name val="Arial"/>
    </font>
  </fonts>
  <fills count="4">
    <fill>
      <patternFill patternType="none"/>
    </fill>
    <fill>
      <patternFill patternType="gray125"/>
    </fill>
    <fill>
      <patternFill patternType="solid">
        <fgColor rgb="FF1F4E5F"/>
      </patternFill>
    </fill>
    <fill>
      <patternFill patternType="solid">
        <fgColor rgb="FFE3F2E7"/>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8">
    <xf numFmtId="0" fontId="0" fillId="0" borderId="0" xfId="0"/>
    <xf numFmtId="0" fontId="1" fillId="0" borderId="0" xfId="0" applyFont="1"/>
    <xf numFmtId="0" fontId="2" fillId="0" borderId="0" xfId="0" applyFont="1"/>
    <xf numFmtId="0" fontId="3" fillId="2" borderId="1" xfId="0" applyFont="1" applyFill="1" applyBorder="1" applyAlignment="1">
      <alignment horizontal="left" vertical="center"/>
    </xf>
    <xf numFmtId="0" fontId="3" fillId="2" borderId="1" xfId="0" applyFont="1" applyFill="1" applyBorder="1" applyAlignment="1">
      <alignment horizontal="center" vertical="center"/>
    </xf>
    <xf numFmtId="0" fontId="4" fillId="0" borderId="1" xfId="0" applyFont="1" applyBorder="1" applyAlignment="1">
      <alignment horizontal="left" vertical="center"/>
    </xf>
    <xf numFmtId="2" fontId="4" fillId="0" borderId="1" xfId="0" applyNumberFormat="1" applyFont="1" applyBorder="1" applyAlignment="1">
      <alignment horizontal="center" vertical="center"/>
    </xf>
    <xf numFmtId="0" fontId="4" fillId="0" borderId="1" xfId="0" applyFont="1" applyBorder="1" applyAlignment="1">
      <alignment horizontal="center" vertical="center"/>
    </xf>
    <xf numFmtId="0" fontId="5" fillId="3" borderId="1" xfId="0" applyFont="1" applyFill="1" applyBorder="1" applyAlignment="1">
      <alignment horizontal="center" vertical="center"/>
    </xf>
    <xf numFmtId="1" fontId="4" fillId="0" borderId="1" xfId="0" applyNumberFormat="1" applyFont="1" applyBorder="1" applyAlignment="1">
      <alignment horizontal="center" vertical="center"/>
    </xf>
    <xf numFmtId="10" fontId="4" fillId="0" borderId="1" xfId="0" applyNumberFormat="1" applyFont="1" applyBorder="1" applyAlignment="1">
      <alignment horizontal="center" vertical="center"/>
    </xf>
    <xf numFmtId="164" fontId="4" fillId="0" borderId="1" xfId="0" applyNumberFormat="1" applyFont="1" applyBorder="1" applyAlignment="1">
      <alignment horizontal="center" vertical="center"/>
    </xf>
    <xf numFmtId="0" fontId="6" fillId="3" borderId="0" xfId="0" applyFont="1" applyFill="1"/>
    <xf numFmtId="0" fontId="3" fillId="2" borderId="1" xfId="0" applyFont="1" applyFill="1" applyBorder="1"/>
    <xf numFmtId="0" fontId="5" fillId="0" borderId="1" xfId="0" applyFont="1" applyBorder="1"/>
    <xf numFmtId="0" fontId="4" fillId="0" borderId="1" xfId="0" applyFont="1" applyBorder="1"/>
    <xf numFmtId="0" fontId="5" fillId="0" borderId="0" xfId="0" applyFont="1" applyAlignment="1">
      <alignment vertical="top"/>
    </xf>
    <xf numFmtId="0" fontId="4"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2.xml"/><Relationship Id="rId5" Type="http://schemas.openxmlformats.org/officeDocument/2006/relationships/worksheet" Target="worksheets/sheet1.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40"/>
  <sheetViews>
    <sheetView workbookViewId="0">
      <pane ySplit="1" topLeftCell="A2" activePane="bottomLeft" state="frozen"/>
      <selection pane="bottomLeft"/>
    </sheetView>
  </sheetViews>
  <sheetFormatPr defaultRowHeight="15" outlineLevelRow="0" outlineLevelCol="0" x14ac:dyDescent="55"/>
  <cols>
    <col min="1" max="1" width="22" customWidth="1"/>
    <col min="2" max="3" width="13" customWidth="1"/>
    <col min="5" max="6" width="11" customWidth="1"/>
    <col min="8" max="8" width="10" customWidth="1"/>
    <col min="9" max="9" width="14" customWidth="1"/>
    <col min="10" max="11" width="16" customWidth="1"/>
    <col min="13" max="13" width="7" customWidth="1"/>
    <col min="14" max="14" width="46" customWidth="1"/>
    <col min="15" max="15" width="40" customWidth="1"/>
  </cols>
  <sheetData>
    <row r="1" spans="1:15" x14ac:dyDescent="0.25">
      <c r="A1" s="13" t="s">
        <v>31</v>
      </c>
      <c r="B1" s="13" t="s">
        <v>32</v>
      </c>
      <c r="C1" s="13" t="s">
        <v>33</v>
      </c>
      <c r="D1" s="13" t="s">
        <v>34</v>
      </c>
      <c r="E1" s="13" t="s">
        <v>35</v>
      </c>
      <c r="F1" s="13" t="s">
        <v>36</v>
      </c>
      <c r="G1" s="13" t="s">
        <v>37</v>
      </c>
      <c r="H1" s="13" t="s">
        <v>38</v>
      </c>
      <c r="I1" s="13" t="s">
        <v>39</v>
      </c>
      <c r="J1" s="13" t="s">
        <v>40</v>
      </c>
      <c r="K1" s="13" t="s">
        <v>41</v>
      </c>
      <c r="L1" s="13" t="s">
        <v>42</v>
      </c>
      <c r="M1" s="13" t="s">
        <v>43</v>
      </c>
      <c r="N1" s="13" t="s">
        <v>44</v>
      </c>
      <c r="O1" s="13" t="s">
        <v>45</v>
      </c>
    </row>
    <row r="2" spans="1:15" x14ac:dyDescent="0.25">
      <c r="A2" s="14" t="s">
        <v>46</v>
      </c>
      <c r="B2" s="14">
        <v>0</v>
      </c>
      <c r="C2" s="14">
        <v>30.42</v>
      </c>
      <c r="D2" s="14">
        <v>1465</v>
      </c>
      <c r="E2" s="14">
        <v>236</v>
      </c>
      <c r="F2" s="14">
        <v>38</v>
      </c>
      <c r="G2" s="14">
        <v>38</v>
      </c>
      <c r="H2" s="14">
        <v>1035</v>
      </c>
      <c r="I2" s="14">
        <v>3381</v>
      </c>
      <c r="J2" s="14">
        <v>17.97</v>
      </c>
      <c r="K2" s="14">
        <v>0.63</v>
      </c>
      <c r="L2" s="14">
        <v>162</v>
      </c>
      <c r="M2" s="14">
        <v>1</v>
      </c>
      <c r="N2" s="14" t="s">
        <v>47</v>
      </c>
      <c r="O2" s="14" t="s">
        <v>48</v>
      </c>
    </row>
    <row r="3" spans="1:15" x14ac:dyDescent="0.25">
      <c r="A3" s="15" t="s">
        <v>49</v>
      </c>
      <c r="B3" s="15">
        <v>0</v>
      </c>
      <c r="C3" s="15">
        <v>31.82</v>
      </c>
      <c r="D3" s="15">
        <v>1539</v>
      </c>
      <c r="E3" s="15">
        <v>298</v>
      </c>
      <c r="F3" s="15">
        <v>38</v>
      </c>
      <c r="G3" s="15">
        <v>38</v>
      </c>
      <c r="H3" s="15">
        <v>1797</v>
      </c>
      <c r="I3" s="15">
        <v>5405</v>
      </c>
      <c r="J3" s="15">
        <v>37.58</v>
      </c>
      <c r="K3" s="15" t="s">
        <v>50</v>
      </c>
      <c r="L3" s="15">
        <v>165</v>
      </c>
      <c r="M3" s="15">
        <v>1</v>
      </c>
      <c r="N3" s="15" t="s">
        <v>47</v>
      </c>
      <c r="O3" s="15" t="s">
        <v>50</v>
      </c>
    </row>
    <row r="4" spans="1:15" x14ac:dyDescent="0.25">
      <c r="A4" s="15" t="s">
        <v>51</v>
      </c>
      <c r="B4" s="15">
        <v>2</v>
      </c>
      <c r="C4" s="15">
        <v>30.39</v>
      </c>
      <c r="D4" s="15">
        <v>1356</v>
      </c>
      <c r="E4" s="15">
        <v>196</v>
      </c>
      <c r="F4" s="15">
        <v>38</v>
      </c>
      <c r="G4" s="15">
        <v>38</v>
      </c>
      <c r="H4" s="15">
        <v>1972</v>
      </c>
      <c r="I4" s="15">
        <v>6117</v>
      </c>
      <c r="J4" s="15">
        <v>39.67</v>
      </c>
      <c r="K4" s="15">
        <v>1.72</v>
      </c>
      <c r="L4" s="15">
        <v>205</v>
      </c>
      <c r="M4" s="15">
        <v>1</v>
      </c>
      <c r="N4" s="15" t="s">
        <v>52</v>
      </c>
      <c r="O4" s="15" t="s">
        <v>50</v>
      </c>
    </row>
    <row r="5" spans="1:15" x14ac:dyDescent="0.25">
      <c r="A5" s="15" t="s">
        <v>53</v>
      </c>
      <c r="B5" s="15">
        <v>4.1</v>
      </c>
      <c r="C5" s="15">
        <v>31.91</v>
      </c>
      <c r="D5" s="15">
        <v>2056</v>
      </c>
      <c r="E5" s="15">
        <v>505</v>
      </c>
      <c r="F5" s="15">
        <v>38</v>
      </c>
      <c r="G5" s="15">
        <v>38</v>
      </c>
      <c r="H5" s="15">
        <v>2220</v>
      </c>
      <c r="I5" s="15">
        <v>6870</v>
      </c>
      <c r="J5" s="15">
        <v>43.35</v>
      </c>
      <c r="K5" s="15">
        <v>3.03</v>
      </c>
      <c r="L5" s="15">
        <v>246</v>
      </c>
      <c r="M5" s="15">
        <v>1</v>
      </c>
      <c r="N5" s="15" t="s">
        <v>54</v>
      </c>
      <c r="O5" s="15" t="s">
        <v>50</v>
      </c>
    </row>
    <row r="6" spans="1:15" x14ac:dyDescent="0.25">
      <c r="A6" s="15" t="s">
        <v>55</v>
      </c>
      <c r="B6" s="15">
        <v>6.1</v>
      </c>
      <c r="C6" s="15">
        <v>31.44</v>
      </c>
      <c r="D6" s="15">
        <v>2126</v>
      </c>
      <c r="E6" s="15">
        <v>447</v>
      </c>
      <c r="F6" s="15">
        <v>38</v>
      </c>
      <c r="G6" s="15">
        <v>38</v>
      </c>
      <c r="H6" s="15">
        <v>2388</v>
      </c>
      <c r="I6" s="15">
        <v>7354</v>
      </c>
      <c r="J6" s="15">
        <v>45.97</v>
      </c>
      <c r="K6" s="15">
        <v>2.15</v>
      </c>
      <c r="L6" s="15">
        <v>286</v>
      </c>
      <c r="M6" s="15">
        <v>1</v>
      </c>
      <c r="N6" s="15" t="s">
        <v>56</v>
      </c>
      <c r="O6" s="15" t="s">
        <v>50</v>
      </c>
    </row>
    <row r="7" spans="1:15" x14ac:dyDescent="0.25">
      <c r="A7" s="15" t="s">
        <v>57</v>
      </c>
      <c r="B7" s="15">
        <v>8.1</v>
      </c>
      <c r="C7" s="15">
        <v>31.24</v>
      </c>
      <c r="D7" s="15">
        <v>1468</v>
      </c>
      <c r="E7" s="15">
        <v>236</v>
      </c>
      <c r="F7" s="15">
        <v>38</v>
      </c>
      <c r="G7" s="15">
        <v>38</v>
      </c>
      <c r="H7" s="15">
        <v>2594</v>
      </c>
      <c r="I7" s="15">
        <v>8044</v>
      </c>
      <c r="J7" s="15">
        <v>49.4</v>
      </c>
      <c r="K7" s="15">
        <v>2.83</v>
      </c>
      <c r="L7" s="15">
        <v>326</v>
      </c>
      <c r="M7" s="15">
        <v>1</v>
      </c>
      <c r="N7" s="15" t="s">
        <v>47</v>
      </c>
      <c r="O7" s="15" t="s">
        <v>50</v>
      </c>
    </row>
    <row r="8" spans="1:15" x14ac:dyDescent="0.25">
      <c r="A8" s="15" t="s">
        <v>58</v>
      </c>
      <c r="B8" s="15">
        <v>10.2</v>
      </c>
      <c r="C8" s="15">
        <v>31.34</v>
      </c>
      <c r="D8" s="15">
        <v>2333</v>
      </c>
      <c r="E8" s="15">
        <v>494</v>
      </c>
      <c r="F8" s="15">
        <v>38</v>
      </c>
      <c r="G8" s="15">
        <v>38</v>
      </c>
      <c r="H8" s="15">
        <v>2710</v>
      </c>
      <c r="I8" s="15">
        <v>8695</v>
      </c>
      <c r="J8" s="15">
        <v>51.6</v>
      </c>
      <c r="K8" s="15">
        <v>1.81</v>
      </c>
      <c r="L8" s="15">
        <v>367</v>
      </c>
      <c r="M8" s="15">
        <v>1</v>
      </c>
      <c r="N8" s="15" t="s">
        <v>59</v>
      </c>
      <c r="O8" s="15" t="s">
        <v>50</v>
      </c>
    </row>
    <row r="9" spans="1:15" x14ac:dyDescent="0.25">
      <c r="A9" s="15" t="s">
        <v>60</v>
      </c>
      <c r="B9" s="15">
        <v>12.2</v>
      </c>
      <c r="C9" s="15">
        <v>31.22</v>
      </c>
      <c r="D9" s="15">
        <v>1938</v>
      </c>
      <c r="E9" s="15">
        <v>410</v>
      </c>
      <c r="F9" s="15">
        <v>38</v>
      </c>
      <c r="G9" s="15">
        <v>38</v>
      </c>
      <c r="H9" s="15">
        <v>2905</v>
      </c>
      <c r="I9" s="15">
        <v>9411</v>
      </c>
      <c r="J9" s="15">
        <v>54.18</v>
      </c>
      <c r="K9" s="15">
        <v>2.13</v>
      </c>
      <c r="L9" s="15">
        <v>407</v>
      </c>
      <c r="M9" s="15">
        <v>1</v>
      </c>
      <c r="N9" s="15" t="s">
        <v>61</v>
      </c>
      <c r="O9" s="15" t="s">
        <v>50</v>
      </c>
    </row>
    <row r="10" spans="1:15" x14ac:dyDescent="0.25">
      <c r="A10" s="15" t="s">
        <v>62</v>
      </c>
      <c r="B10" s="15">
        <v>14.2</v>
      </c>
      <c r="C10" s="15">
        <v>31.41</v>
      </c>
      <c r="D10" s="15">
        <v>2147</v>
      </c>
      <c r="E10" s="15">
        <v>278</v>
      </c>
      <c r="F10" s="15">
        <v>38</v>
      </c>
      <c r="G10" s="15">
        <v>38</v>
      </c>
      <c r="H10" s="15">
        <v>3057</v>
      </c>
      <c r="I10" s="15">
        <v>10120</v>
      </c>
      <c r="J10" s="15">
        <v>56.7</v>
      </c>
      <c r="K10" s="15">
        <v>2.07</v>
      </c>
      <c r="L10" s="15">
        <v>448</v>
      </c>
      <c r="M10" s="15">
        <v>1</v>
      </c>
      <c r="N10" s="15" t="s">
        <v>63</v>
      </c>
      <c r="O10" s="15" t="s">
        <v>50</v>
      </c>
    </row>
    <row r="11" spans="1:15" x14ac:dyDescent="0.25">
      <c r="A11" s="15" t="s">
        <v>64</v>
      </c>
      <c r="B11" s="15">
        <v>16.2</v>
      </c>
      <c r="C11" s="15">
        <v>31.38</v>
      </c>
      <c r="D11" s="15">
        <v>2127</v>
      </c>
      <c r="E11" s="15">
        <v>272</v>
      </c>
      <c r="F11" s="15">
        <v>38</v>
      </c>
      <c r="G11" s="15">
        <v>38</v>
      </c>
      <c r="H11" s="15">
        <v>3175</v>
      </c>
      <c r="I11" s="15">
        <v>10662</v>
      </c>
      <c r="J11" s="15">
        <v>58.72</v>
      </c>
      <c r="K11" s="15">
        <v>1.66</v>
      </c>
      <c r="L11" s="15">
        <v>488</v>
      </c>
      <c r="M11" s="15">
        <v>1</v>
      </c>
      <c r="N11" s="15" t="s">
        <v>63</v>
      </c>
      <c r="O11" s="15" t="s">
        <v>50</v>
      </c>
    </row>
    <row r="12" spans="1:15" x14ac:dyDescent="0.25">
      <c r="A12" s="15" t="s">
        <v>65</v>
      </c>
      <c r="B12" s="15">
        <v>18.2</v>
      </c>
      <c r="C12" s="15">
        <v>30.49</v>
      </c>
      <c r="D12" s="15">
        <v>1441</v>
      </c>
      <c r="E12" s="15">
        <v>236</v>
      </c>
      <c r="F12" s="15">
        <v>38</v>
      </c>
      <c r="G12" s="15">
        <v>38</v>
      </c>
      <c r="H12" s="15">
        <v>3339</v>
      </c>
      <c r="I12" s="15">
        <v>11405</v>
      </c>
      <c r="J12" s="15">
        <v>60.45</v>
      </c>
      <c r="K12" s="15">
        <v>1.43</v>
      </c>
      <c r="L12" s="15">
        <v>528</v>
      </c>
      <c r="M12" s="15">
        <v>1</v>
      </c>
      <c r="N12" s="15" t="s">
        <v>66</v>
      </c>
      <c r="O12" s="15" t="s">
        <v>50</v>
      </c>
    </row>
    <row r="13" spans="1:15" x14ac:dyDescent="0.25">
      <c r="A13" s="15" t="s">
        <v>67</v>
      </c>
      <c r="B13" s="15">
        <v>20.3</v>
      </c>
      <c r="C13" s="15">
        <v>31.22</v>
      </c>
      <c r="D13" s="15">
        <v>1464</v>
      </c>
      <c r="E13" s="15">
        <v>236</v>
      </c>
      <c r="F13" s="15">
        <v>38</v>
      </c>
      <c r="G13" s="15">
        <v>38</v>
      </c>
      <c r="H13" s="15">
        <v>3599</v>
      </c>
      <c r="I13" s="15">
        <v>12005</v>
      </c>
      <c r="J13" s="15">
        <v>63.74</v>
      </c>
      <c r="K13" s="15">
        <v>2.69</v>
      </c>
      <c r="L13" s="15">
        <v>568</v>
      </c>
      <c r="M13" s="15">
        <v>1</v>
      </c>
      <c r="N13" s="15" t="s">
        <v>47</v>
      </c>
      <c r="O13" s="15" t="s">
        <v>50</v>
      </c>
    </row>
    <row r="14" spans="1:15" x14ac:dyDescent="0.25">
      <c r="A14" s="15" t="s">
        <v>68</v>
      </c>
      <c r="B14" s="15">
        <v>22.3</v>
      </c>
      <c r="C14" s="15">
        <v>31.38</v>
      </c>
      <c r="D14" s="15">
        <v>1464</v>
      </c>
      <c r="E14" s="15">
        <v>236</v>
      </c>
      <c r="F14" s="15">
        <v>38</v>
      </c>
      <c r="G14" s="15">
        <v>38</v>
      </c>
      <c r="H14" s="15">
        <v>3853</v>
      </c>
      <c r="I14" s="15">
        <v>12700</v>
      </c>
      <c r="J14" s="15">
        <v>68.88</v>
      </c>
      <c r="K14" s="15">
        <v>4.23</v>
      </c>
      <c r="L14" s="15">
        <v>608</v>
      </c>
      <c r="M14" s="15">
        <v>1</v>
      </c>
      <c r="N14" s="15" t="s">
        <v>47</v>
      </c>
      <c r="O14" s="15" t="s">
        <v>50</v>
      </c>
    </row>
    <row r="15" spans="1:15" x14ac:dyDescent="0.25">
      <c r="A15" s="15" t="s">
        <v>69</v>
      </c>
      <c r="B15" s="15">
        <v>24.3</v>
      </c>
      <c r="C15" s="15">
        <v>31.28</v>
      </c>
      <c r="D15" s="15">
        <v>2155</v>
      </c>
      <c r="E15" s="15">
        <v>400</v>
      </c>
      <c r="F15" s="15">
        <v>38</v>
      </c>
      <c r="G15" s="15">
        <v>38</v>
      </c>
      <c r="H15" s="15">
        <v>4011</v>
      </c>
      <c r="I15" s="15">
        <v>13270</v>
      </c>
      <c r="J15" s="15">
        <v>72.33</v>
      </c>
      <c r="K15" s="15">
        <v>2.84</v>
      </c>
      <c r="L15" s="15">
        <v>648</v>
      </c>
      <c r="M15" s="15">
        <v>1</v>
      </c>
      <c r="N15" s="15" t="s">
        <v>70</v>
      </c>
      <c r="O15" s="15" t="s">
        <v>50</v>
      </c>
    </row>
    <row r="16" spans="1:15" x14ac:dyDescent="0.25">
      <c r="A16" s="15" t="s">
        <v>71</v>
      </c>
      <c r="B16" s="15">
        <v>26.4</v>
      </c>
      <c r="C16" s="15">
        <v>31.6</v>
      </c>
      <c r="D16" s="15">
        <v>2551</v>
      </c>
      <c r="E16" s="15">
        <v>528</v>
      </c>
      <c r="F16" s="15">
        <v>38</v>
      </c>
      <c r="G16" s="15">
        <v>38</v>
      </c>
      <c r="H16" s="15">
        <v>4280</v>
      </c>
      <c r="I16" s="15">
        <v>14031</v>
      </c>
      <c r="J16" s="15">
        <v>75.68</v>
      </c>
      <c r="K16" s="15">
        <v>2.75</v>
      </c>
      <c r="L16" s="15">
        <v>688</v>
      </c>
      <c r="M16" s="15">
        <v>1</v>
      </c>
      <c r="N16" s="15" t="s">
        <v>59</v>
      </c>
      <c r="O16" s="15" t="s">
        <v>50</v>
      </c>
    </row>
    <row r="17" spans="1:15" x14ac:dyDescent="0.25">
      <c r="A17" s="15" t="s">
        <v>72</v>
      </c>
      <c r="B17" s="15">
        <v>28.4</v>
      </c>
      <c r="C17" s="15">
        <v>31.69</v>
      </c>
      <c r="D17" s="15">
        <v>2565</v>
      </c>
      <c r="E17" s="15">
        <v>533</v>
      </c>
      <c r="F17" s="15">
        <v>38</v>
      </c>
      <c r="G17" s="15">
        <v>38</v>
      </c>
      <c r="H17" s="15">
        <v>4514</v>
      </c>
      <c r="I17" s="15">
        <v>14606</v>
      </c>
      <c r="J17" s="15">
        <v>78.1</v>
      </c>
      <c r="K17" s="15">
        <v>1.99</v>
      </c>
      <c r="L17" s="15">
        <v>728</v>
      </c>
      <c r="M17" s="15">
        <v>1</v>
      </c>
      <c r="N17" s="15" t="s">
        <v>59</v>
      </c>
      <c r="O17" s="15" t="s">
        <v>50</v>
      </c>
    </row>
    <row r="18" spans="1:15" x14ac:dyDescent="0.25">
      <c r="A18" s="15" t="s">
        <v>73</v>
      </c>
      <c r="B18" s="15">
        <v>30.4</v>
      </c>
      <c r="C18" s="15">
        <v>31.39</v>
      </c>
      <c r="D18" s="15">
        <v>1656</v>
      </c>
      <c r="E18" s="15">
        <v>244</v>
      </c>
      <c r="F18" s="15">
        <v>38</v>
      </c>
      <c r="G18" s="15">
        <v>38</v>
      </c>
      <c r="H18" s="15">
        <v>4676</v>
      </c>
      <c r="I18" s="15">
        <v>15207</v>
      </c>
      <c r="J18" s="15">
        <v>80.85</v>
      </c>
      <c r="K18" s="15">
        <v>2.26</v>
      </c>
      <c r="L18" s="15">
        <v>768</v>
      </c>
      <c r="M18" s="15">
        <v>1</v>
      </c>
      <c r="N18" s="15" t="s">
        <v>74</v>
      </c>
      <c r="O18" s="15" t="s">
        <v>50</v>
      </c>
    </row>
    <row r="19" spans="1:15" x14ac:dyDescent="0.25">
      <c r="A19" s="15" t="s">
        <v>75</v>
      </c>
      <c r="B19" s="15">
        <v>32.4</v>
      </c>
      <c r="C19" s="15">
        <v>31.62</v>
      </c>
      <c r="D19" s="15">
        <v>2087</v>
      </c>
      <c r="E19" s="15">
        <v>445</v>
      </c>
      <c r="F19" s="15">
        <v>38</v>
      </c>
      <c r="G19" s="15">
        <v>38</v>
      </c>
      <c r="H19" s="15">
        <v>4858</v>
      </c>
      <c r="I19" s="15">
        <v>15917</v>
      </c>
      <c r="J19" s="15">
        <v>83.52</v>
      </c>
      <c r="K19" s="15">
        <v>2.19</v>
      </c>
      <c r="L19" s="15">
        <v>808</v>
      </c>
      <c r="M19" s="15">
        <v>1</v>
      </c>
      <c r="N19" s="15" t="s">
        <v>76</v>
      </c>
      <c r="O19" s="15" t="s">
        <v>50</v>
      </c>
    </row>
    <row r="20" spans="1:15" x14ac:dyDescent="0.25">
      <c r="A20" s="15" t="s">
        <v>77</v>
      </c>
      <c r="B20" s="15">
        <v>34.5</v>
      </c>
      <c r="C20" s="15">
        <v>31.93</v>
      </c>
      <c r="D20" s="15">
        <v>2126</v>
      </c>
      <c r="E20" s="15">
        <v>447</v>
      </c>
      <c r="F20" s="15">
        <v>38</v>
      </c>
      <c r="G20" s="15">
        <v>38</v>
      </c>
      <c r="H20" s="15">
        <v>5126</v>
      </c>
      <c r="I20" s="15">
        <v>16579</v>
      </c>
      <c r="J20" s="15">
        <v>87.86</v>
      </c>
      <c r="K20" s="15">
        <v>3.57</v>
      </c>
      <c r="L20" s="15">
        <v>848</v>
      </c>
      <c r="M20" s="15">
        <v>1</v>
      </c>
      <c r="N20" s="15" t="s">
        <v>56</v>
      </c>
      <c r="O20" s="15" t="s">
        <v>50</v>
      </c>
    </row>
    <row r="21" spans="1:15" x14ac:dyDescent="0.25">
      <c r="A21" s="15" t="s">
        <v>78</v>
      </c>
      <c r="B21" s="15">
        <v>36.5</v>
      </c>
      <c r="C21" s="15">
        <v>31.61</v>
      </c>
      <c r="D21" s="15">
        <v>1607</v>
      </c>
      <c r="E21" s="15">
        <v>351</v>
      </c>
      <c r="F21" s="15">
        <v>38</v>
      </c>
      <c r="G21" s="15">
        <v>38</v>
      </c>
      <c r="H21" s="15">
        <v>5392</v>
      </c>
      <c r="I21" s="15">
        <v>17346</v>
      </c>
      <c r="J21" s="15">
        <v>90.45</v>
      </c>
      <c r="K21" s="15">
        <v>2.12</v>
      </c>
      <c r="L21" s="15">
        <v>888</v>
      </c>
      <c r="M21" s="15">
        <v>1</v>
      </c>
      <c r="N21" s="15" t="s">
        <v>79</v>
      </c>
      <c r="O21" s="15" t="s">
        <v>50</v>
      </c>
    </row>
    <row r="22" spans="1:15" x14ac:dyDescent="0.25">
      <c r="A22" s="15" t="s">
        <v>80</v>
      </c>
      <c r="B22" s="15">
        <v>38.5</v>
      </c>
      <c r="C22" s="15">
        <v>31.47</v>
      </c>
      <c r="D22" s="15">
        <v>2107</v>
      </c>
      <c r="E22" s="15">
        <v>262</v>
      </c>
      <c r="F22" s="15">
        <v>38</v>
      </c>
      <c r="G22" s="15">
        <v>38</v>
      </c>
      <c r="H22" s="15">
        <v>5594</v>
      </c>
      <c r="I22" s="15">
        <v>18047</v>
      </c>
      <c r="J22" s="15">
        <v>94.37</v>
      </c>
      <c r="K22" s="15">
        <v>3.22</v>
      </c>
      <c r="L22" s="15">
        <v>927</v>
      </c>
      <c r="M22" s="15">
        <v>1</v>
      </c>
      <c r="N22" s="15" t="s">
        <v>63</v>
      </c>
      <c r="O22" s="15" t="s">
        <v>50</v>
      </c>
    </row>
    <row r="23" spans="1:15" x14ac:dyDescent="0.25">
      <c r="A23" s="15" t="s">
        <v>81</v>
      </c>
      <c r="B23" s="15">
        <v>40.6</v>
      </c>
      <c r="C23" s="15">
        <v>31.63</v>
      </c>
      <c r="D23" s="15">
        <v>2107</v>
      </c>
      <c r="E23" s="15">
        <v>262</v>
      </c>
      <c r="F23" s="15">
        <v>38</v>
      </c>
      <c r="G23" s="15">
        <v>38</v>
      </c>
      <c r="H23" s="15">
        <v>5796</v>
      </c>
      <c r="I23" s="15">
        <v>18749</v>
      </c>
      <c r="J23" s="15">
        <v>96.94</v>
      </c>
      <c r="K23" s="15">
        <v>2.12</v>
      </c>
      <c r="L23" s="15">
        <v>967</v>
      </c>
      <c r="M23" s="15">
        <v>1</v>
      </c>
      <c r="N23" s="15" t="s">
        <v>63</v>
      </c>
      <c r="O23" s="15" t="s">
        <v>50</v>
      </c>
    </row>
    <row r="24" spans="1:15" x14ac:dyDescent="0.25">
      <c r="A24" s="15" t="s">
        <v>82</v>
      </c>
      <c r="B24" s="15">
        <v>42.6</v>
      </c>
      <c r="C24" s="15">
        <v>31.87</v>
      </c>
      <c r="D24" s="15">
        <v>2114</v>
      </c>
      <c r="E24" s="15">
        <v>411</v>
      </c>
      <c r="F24" s="15">
        <v>38</v>
      </c>
      <c r="G24" s="15">
        <v>38</v>
      </c>
      <c r="H24" s="15">
        <v>5961</v>
      </c>
      <c r="I24" s="15">
        <v>19550</v>
      </c>
      <c r="J24" s="15">
        <v>99.18</v>
      </c>
      <c r="K24" s="15">
        <v>1.84</v>
      </c>
      <c r="L24" s="15">
        <v>1007</v>
      </c>
      <c r="M24" s="15">
        <v>1</v>
      </c>
      <c r="N24" s="15" t="s">
        <v>83</v>
      </c>
      <c r="O24" s="15" t="s">
        <v>50</v>
      </c>
    </row>
    <row r="25" spans="1:15" x14ac:dyDescent="0.25">
      <c r="A25" s="15" t="s">
        <v>84</v>
      </c>
      <c r="B25" s="15">
        <v>44.6</v>
      </c>
      <c r="C25" s="15">
        <v>31.82</v>
      </c>
      <c r="D25" s="15">
        <v>2129</v>
      </c>
      <c r="E25" s="15">
        <v>276</v>
      </c>
      <c r="F25" s="15">
        <v>38</v>
      </c>
      <c r="G25" s="15">
        <v>38</v>
      </c>
      <c r="H25" s="15">
        <v>6132</v>
      </c>
      <c r="I25" s="15">
        <v>20353</v>
      </c>
      <c r="J25" s="15">
        <v>102.04</v>
      </c>
      <c r="K25" s="15">
        <v>2.34</v>
      </c>
      <c r="L25" s="15">
        <v>1047</v>
      </c>
      <c r="M25" s="15">
        <v>1</v>
      </c>
      <c r="N25" s="15" t="s">
        <v>63</v>
      </c>
      <c r="O25" s="15" t="s">
        <v>50</v>
      </c>
    </row>
    <row r="26" spans="1:15" x14ac:dyDescent="0.25">
      <c r="A26" s="15" t="s">
        <v>85</v>
      </c>
      <c r="B26" s="15">
        <v>46.7</v>
      </c>
      <c r="C26" s="15">
        <v>31.5</v>
      </c>
      <c r="D26" s="15">
        <v>1347</v>
      </c>
      <c r="E26" s="15">
        <v>194</v>
      </c>
      <c r="F26" s="15">
        <v>38</v>
      </c>
      <c r="G26" s="15">
        <v>38</v>
      </c>
      <c r="H26" s="15">
        <v>6360</v>
      </c>
      <c r="I26" s="15">
        <v>21126</v>
      </c>
      <c r="J26" s="15">
        <v>105.28</v>
      </c>
      <c r="K26" s="15">
        <v>2.67</v>
      </c>
      <c r="L26" s="15">
        <v>1087</v>
      </c>
      <c r="M26" s="15">
        <v>1</v>
      </c>
      <c r="N26" s="15" t="s">
        <v>52</v>
      </c>
      <c r="O26" s="15" t="s">
        <v>50</v>
      </c>
    </row>
    <row r="27" spans="1:15" x14ac:dyDescent="0.25">
      <c r="A27" s="15" t="s">
        <v>86</v>
      </c>
      <c r="B27" s="15">
        <v>48.7</v>
      </c>
      <c r="C27" s="15">
        <v>32.79</v>
      </c>
      <c r="D27" s="15">
        <v>3021</v>
      </c>
      <c r="E27" s="15">
        <v>664</v>
      </c>
      <c r="F27" s="15">
        <v>38</v>
      </c>
      <c r="G27" s="15">
        <v>38</v>
      </c>
      <c r="H27" s="15">
        <v>6557</v>
      </c>
      <c r="I27" s="15">
        <v>21982</v>
      </c>
      <c r="J27" s="15">
        <v>108.19</v>
      </c>
      <c r="K27" s="15">
        <v>2.39</v>
      </c>
      <c r="L27" s="15">
        <v>1127</v>
      </c>
      <c r="M27" s="15">
        <v>1</v>
      </c>
      <c r="N27" s="15" t="s">
        <v>59</v>
      </c>
      <c r="O27" s="15" t="s">
        <v>50</v>
      </c>
    </row>
    <row r="28" spans="1:15" x14ac:dyDescent="0.25">
      <c r="A28" s="15" t="s">
        <v>87</v>
      </c>
      <c r="B28" s="15">
        <v>50.7</v>
      </c>
      <c r="C28" s="15">
        <v>32.01</v>
      </c>
      <c r="D28" s="15">
        <v>2065</v>
      </c>
      <c r="E28" s="15">
        <v>370</v>
      </c>
      <c r="F28" s="15">
        <v>38</v>
      </c>
      <c r="G28" s="15">
        <v>38</v>
      </c>
      <c r="H28" s="15">
        <v>6762</v>
      </c>
      <c r="I28" s="15">
        <v>22603</v>
      </c>
      <c r="J28" s="15">
        <v>112.29</v>
      </c>
      <c r="K28" s="15">
        <v>3.36</v>
      </c>
      <c r="L28" s="15">
        <v>1166</v>
      </c>
      <c r="M28" s="15">
        <v>1</v>
      </c>
      <c r="N28" s="15" t="s">
        <v>88</v>
      </c>
      <c r="O28" s="15" t="s">
        <v>50</v>
      </c>
    </row>
    <row r="29" spans="1:15" x14ac:dyDescent="0.25">
      <c r="A29" s="15" t="s">
        <v>89</v>
      </c>
      <c r="B29" s="15">
        <v>52.7</v>
      </c>
      <c r="C29" s="15">
        <v>32.94</v>
      </c>
      <c r="D29" s="15">
        <v>1495</v>
      </c>
      <c r="E29" s="15">
        <v>252</v>
      </c>
      <c r="F29" s="15">
        <v>38</v>
      </c>
      <c r="G29" s="15">
        <v>38</v>
      </c>
      <c r="H29" s="15">
        <v>6985</v>
      </c>
      <c r="I29" s="15">
        <v>23343</v>
      </c>
      <c r="J29" s="15">
        <v>116.46</v>
      </c>
      <c r="K29" s="15">
        <v>3.41</v>
      </c>
      <c r="L29" s="15">
        <v>1206</v>
      </c>
      <c r="M29" s="15">
        <v>1</v>
      </c>
      <c r="N29" s="15" t="s">
        <v>47</v>
      </c>
      <c r="O29" s="15" t="s">
        <v>50</v>
      </c>
    </row>
    <row r="30" spans="1:15" x14ac:dyDescent="0.25">
      <c r="A30" s="15" t="s">
        <v>90</v>
      </c>
      <c r="B30" s="15">
        <v>54.8</v>
      </c>
      <c r="C30" s="15">
        <v>32.38</v>
      </c>
      <c r="D30" s="15">
        <v>1486</v>
      </c>
      <c r="E30" s="15">
        <v>250</v>
      </c>
      <c r="F30" s="15">
        <v>38</v>
      </c>
      <c r="G30" s="15">
        <v>38</v>
      </c>
      <c r="H30" s="15">
        <v>7227</v>
      </c>
      <c r="I30" s="15">
        <v>24267</v>
      </c>
      <c r="J30" s="15">
        <v>120.59</v>
      </c>
      <c r="K30" s="15">
        <v>3.4</v>
      </c>
      <c r="L30" s="15">
        <v>1246</v>
      </c>
      <c r="M30" s="15">
        <v>1</v>
      </c>
      <c r="N30" s="15" t="s">
        <v>47</v>
      </c>
      <c r="O30" s="15" t="s">
        <v>50</v>
      </c>
    </row>
    <row r="31" spans="1:15" x14ac:dyDescent="0.25">
      <c r="A31" s="15" t="s">
        <v>91</v>
      </c>
      <c r="B31" s="15">
        <v>56.8</v>
      </c>
      <c r="C31" s="15">
        <v>31.35</v>
      </c>
      <c r="D31" s="15">
        <v>1441</v>
      </c>
      <c r="E31" s="15">
        <v>236</v>
      </c>
      <c r="F31" s="15">
        <v>38</v>
      </c>
      <c r="G31" s="15">
        <v>38</v>
      </c>
      <c r="H31" s="15">
        <v>7379</v>
      </c>
      <c r="I31" s="15">
        <v>24949</v>
      </c>
      <c r="J31" s="15">
        <v>123.03</v>
      </c>
      <c r="K31" s="15">
        <v>2</v>
      </c>
      <c r="L31" s="15">
        <v>1286</v>
      </c>
      <c r="M31" s="15">
        <v>1</v>
      </c>
      <c r="N31" s="15" t="s">
        <v>66</v>
      </c>
      <c r="O31" s="15" t="s">
        <v>50</v>
      </c>
    </row>
    <row r="32" spans="1:15" x14ac:dyDescent="0.25">
      <c r="A32" s="15" t="s">
        <v>92</v>
      </c>
      <c r="B32" s="15">
        <v>58.8</v>
      </c>
      <c r="C32" s="15">
        <v>31.44</v>
      </c>
      <c r="D32" s="15">
        <v>1373</v>
      </c>
      <c r="E32" s="15">
        <v>211</v>
      </c>
      <c r="F32" s="15">
        <v>38</v>
      </c>
      <c r="G32" s="15">
        <v>38</v>
      </c>
      <c r="H32" s="15">
        <v>7644</v>
      </c>
      <c r="I32" s="15">
        <v>25626</v>
      </c>
      <c r="J32" s="15">
        <v>126.88</v>
      </c>
      <c r="K32" s="15">
        <v>3.16</v>
      </c>
      <c r="L32" s="15">
        <v>1326</v>
      </c>
      <c r="M32" s="15">
        <v>1</v>
      </c>
      <c r="N32" s="15" t="s">
        <v>93</v>
      </c>
      <c r="O32" s="15" t="s">
        <v>50</v>
      </c>
    </row>
    <row r="33" spans="1:15" x14ac:dyDescent="0.25">
      <c r="A33" s="15" t="s">
        <v>94</v>
      </c>
      <c r="B33" s="15">
        <v>60.9</v>
      </c>
      <c r="C33" s="15">
        <v>31.91</v>
      </c>
      <c r="D33" s="15">
        <v>1926</v>
      </c>
      <c r="E33" s="15">
        <v>334</v>
      </c>
      <c r="F33" s="15">
        <v>38</v>
      </c>
      <c r="G33" s="15">
        <v>38</v>
      </c>
      <c r="H33" s="15">
        <v>7853</v>
      </c>
      <c r="I33" s="15">
        <v>26335</v>
      </c>
      <c r="J33" s="15">
        <v>129.98</v>
      </c>
      <c r="K33" s="15">
        <v>2.55</v>
      </c>
      <c r="L33" s="15">
        <v>1366</v>
      </c>
      <c r="M33" s="15">
        <v>1</v>
      </c>
      <c r="N33" s="15" t="s">
        <v>95</v>
      </c>
      <c r="O33" s="15" t="s">
        <v>50</v>
      </c>
    </row>
    <row r="34" spans="1:15" x14ac:dyDescent="0.25">
      <c r="A34" s="15" t="s">
        <v>96</v>
      </c>
      <c r="B34" s="15">
        <v>62.9</v>
      </c>
      <c r="C34" s="15">
        <v>31.97</v>
      </c>
      <c r="D34" s="15">
        <v>2110</v>
      </c>
      <c r="E34" s="15">
        <v>262</v>
      </c>
      <c r="F34" s="15">
        <v>38</v>
      </c>
      <c r="G34" s="15">
        <v>38</v>
      </c>
      <c r="H34" s="15">
        <v>8034</v>
      </c>
      <c r="I34" s="15">
        <v>27107</v>
      </c>
      <c r="J34" s="15">
        <v>132.84</v>
      </c>
      <c r="K34" s="15">
        <v>2.35</v>
      </c>
      <c r="L34" s="15">
        <v>1406</v>
      </c>
      <c r="M34" s="15">
        <v>1</v>
      </c>
      <c r="N34" s="15" t="s">
        <v>63</v>
      </c>
      <c r="O34" s="15" t="s">
        <v>50</v>
      </c>
    </row>
    <row r="35" spans="1:15" x14ac:dyDescent="0.25">
      <c r="A35" s="15" t="s">
        <v>97</v>
      </c>
      <c r="B35" s="15">
        <v>64.9</v>
      </c>
      <c r="C35" s="15">
        <v>33.52</v>
      </c>
      <c r="D35" s="15">
        <v>2430</v>
      </c>
      <c r="E35" s="15">
        <v>416</v>
      </c>
      <c r="F35" s="15">
        <v>38</v>
      </c>
      <c r="G35" s="15">
        <v>38</v>
      </c>
      <c r="H35" s="15">
        <v>8266</v>
      </c>
      <c r="I35" s="15">
        <v>27801</v>
      </c>
      <c r="J35" s="15">
        <v>135.88</v>
      </c>
      <c r="K35" s="15">
        <v>2.49</v>
      </c>
      <c r="L35" s="15">
        <v>1446</v>
      </c>
      <c r="M35" s="15">
        <v>1</v>
      </c>
      <c r="N35" s="15" t="s">
        <v>54</v>
      </c>
      <c r="O35" s="15" t="s">
        <v>50</v>
      </c>
    </row>
    <row r="36" spans="1:15" x14ac:dyDescent="0.25">
      <c r="A36" s="15" t="s">
        <v>98</v>
      </c>
      <c r="B36" s="15">
        <v>67</v>
      </c>
      <c r="C36" s="15">
        <v>31.83</v>
      </c>
      <c r="D36" s="15">
        <v>1407</v>
      </c>
      <c r="E36" s="15">
        <v>226</v>
      </c>
      <c r="F36" s="15">
        <v>38</v>
      </c>
      <c r="G36" s="15">
        <v>38</v>
      </c>
      <c r="H36" s="15">
        <v>8523</v>
      </c>
      <c r="I36" s="15">
        <v>28551</v>
      </c>
      <c r="J36" s="15">
        <v>139.28</v>
      </c>
      <c r="K36" s="15">
        <v>2.8</v>
      </c>
      <c r="L36" s="15">
        <v>1485</v>
      </c>
      <c r="M36" s="15">
        <v>1</v>
      </c>
      <c r="N36" s="15" t="s">
        <v>66</v>
      </c>
      <c r="O36" s="15" t="s">
        <v>50</v>
      </c>
    </row>
    <row r="37" spans="1:15" x14ac:dyDescent="0.25">
      <c r="A37" s="15" t="s">
        <v>99</v>
      </c>
      <c r="B37" s="15">
        <v>69</v>
      </c>
      <c r="C37" s="15">
        <v>32.26</v>
      </c>
      <c r="D37" s="15">
        <v>2111</v>
      </c>
      <c r="E37" s="15">
        <v>322</v>
      </c>
      <c r="F37" s="15">
        <v>38</v>
      </c>
      <c r="G37" s="15">
        <v>38</v>
      </c>
      <c r="H37" s="15">
        <v>8734</v>
      </c>
      <c r="I37" s="15">
        <v>29301</v>
      </c>
      <c r="J37" s="15">
        <v>141.78</v>
      </c>
      <c r="K37" s="15">
        <v>2.05</v>
      </c>
      <c r="L37" s="15">
        <v>1525</v>
      </c>
      <c r="M37" s="15">
        <v>1</v>
      </c>
      <c r="N37" s="15" t="s">
        <v>100</v>
      </c>
      <c r="O37" s="15" t="s">
        <v>50</v>
      </c>
    </row>
    <row r="38" spans="1:15" x14ac:dyDescent="0.25">
      <c r="A38" s="15" t="s">
        <v>101</v>
      </c>
      <c r="B38" s="15">
        <v>71</v>
      </c>
      <c r="C38" s="15">
        <v>31.89</v>
      </c>
      <c r="D38" s="15">
        <v>1407</v>
      </c>
      <c r="E38" s="15">
        <v>226</v>
      </c>
      <c r="F38" s="15">
        <v>38</v>
      </c>
      <c r="G38" s="15">
        <v>38</v>
      </c>
      <c r="H38" s="15">
        <v>9000</v>
      </c>
      <c r="I38" s="15">
        <v>30010</v>
      </c>
      <c r="J38" s="15">
        <v>145.13</v>
      </c>
      <c r="K38" s="15">
        <v>2.75</v>
      </c>
      <c r="L38" s="15">
        <v>1565</v>
      </c>
      <c r="M38" s="15">
        <v>1</v>
      </c>
      <c r="N38" s="15" t="s">
        <v>66</v>
      </c>
      <c r="O38" s="15" t="s">
        <v>50</v>
      </c>
    </row>
    <row r="39" spans="1:15" x14ac:dyDescent="0.25">
      <c r="A39" s="15" t="s">
        <v>102</v>
      </c>
      <c r="B39" s="15">
        <v>73</v>
      </c>
      <c r="C39" s="15">
        <v>32.89</v>
      </c>
      <c r="D39" s="15">
        <v>2114</v>
      </c>
      <c r="E39" s="15">
        <v>451</v>
      </c>
      <c r="F39" s="15">
        <v>38</v>
      </c>
      <c r="G39" s="15">
        <v>38</v>
      </c>
      <c r="H39" s="15">
        <v>9155</v>
      </c>
      <c r="I39" s="15">
        <v>30674</v>
      </c>
      <c r="J39" s="15">
        <v>147.33</v>
      </c>
      <c r="K39" s="15">
        <v>1.81</v>
      </c>
      <c r="L39" s="15">
        <v>1605</v>
      </c>
      <c r="M39" s="15">
        <v>1</v>
      </c>
      <c r="N39" s="15" t="s">
        <v>76</v>
      </c>
      <c r="O39" s="15" t="s">
        <v>50</v>
      </c>
    </row>
    <row r="40" spans="1:15" x14ac:dyDescent="0.25">
      <c r="A40" s="15" t="s">
        <v>103</v>
      </c>
      <c r="B40" s="15">
        <v>75.1</v>
      </c>
      <c r="C40" s="15">
        <v>32.39</v>
      </c>
      <c r="D40" s="15">
        <v>1910</v>
      </c>
      <c r="E40" s="15">
        <v>399</v>
      </c>
      <c r="F40" s="15">
        <v>38</v>
      </c>
      <c r="G40" s="15">
        <v>38</v>
      </c>
      <c r="H40" s="15">
        <v>9341</v>
      </c>
      <c r="I40" s="15">
        <v>31494</v>
      </c>
      <c r="J40" s="15">
        <v>150.76</v>
      </c>
      <c r="K40" s="15">
        <v>2.82</v>
      </c>
      <c r="L40" s="15">
        <v>1645</v>
      </c>
      <c r="M40" s="15">
        <v>1</v>
      </c>
      <c r="N40" s="15" t="s">
        <v>56</v>
      </c>
      <c r="O40" s="15" t="s">
        <v>50</v>
      </c>
    </row>
    <row r="41" spans="1:15" x14ac:dyDescent="0.25">
      <c r="A41" s="15" t="s">
        <v>104</v>
      </c>
      <c r="B41" s="15">
        <v>77.1</v>
      </c>
      <c r="C41" s="15">
        <v>32.53</v>
      </c>
      <c r="D41" s="15">
        <v>2065</v>
      </c>
      <c r="E41" s="15">
        <v>370</v>
      </c>
      <c r="F41" s="15">
        <v>38</v>
      </c>
      <c r="G41" s="15">
        <v>38</v>
      </c>
      <c r="H41" s="15">
        <v>9596</v>
      </c>
      <c r="I41" s="15">
        <v>32299</v>
      </c>
      <c r="J41" s="15">
        <v>154.82</v>
      </c>
      <c r="K41" s="15">
        <v>3.32</v>
      </c>
      <c r="L41" s="15">
        <v>1684</v>
      </c>
      <c r="M41" s="15">
        <v>1</v>
      </c>
      <c r="N41" s="15" t="s">
        <v>88</v>
      </c>
      <c r="O41" s="15" t="s">
        <v>50</v>
      </c>
    </row>
    <row r="42" spans="1:15" x14ac:dyDescent="0.25">
      <c r="A42" s="15" t="s">
        <v>105</v>
      </c>
      <c r="B42" s="15">
        <v>79.1</v>
      </c>
      <c r="C42" s="15">
        <v>32.68</v>
      </c>
      <c r="D42" s="15">
        <v>2143</v>
      </c>
      <c r="E42" s="15">
        <v>282</v>
      </c>
      <c r="F42" s="15">
        <v>38</v>
      </c>
      <c r="G42" s="15">
        <v>38</v>
      </c>
      <c r="H42" s="15">
        <v>9771</v>
      </c>
      <c r="I42" s="15">
        <v>32992</v>
      </c>
      <c r="J42" s="15">
        <v>156.95</v>
      </c>
      <c r="K42" s="15">
        <v>1.75</v>
      </c>
      <c r="L42" s="15">
        <v>1724</v>
      </c>
      <c r="M42" s="15">
        <v>1</v>
      </c>
      <c r="N42" s="15" t="s">
        <v>63</v>
      </c>
      <c r="O42" s="15" t="s">
        <v>50</v>
      </c>
    </row>
    <row r="43" spans="1:15" x14ac:dyDescent="0.25">
      <c r="A43" s="15" t="s">
        <v>106</v>
      </c>
      <c r="B43" s="15">
        <v>81.2</v>
      </c>
      <c r="C43" s="15">
        <v>32.68</v>
      </c>
      <c r="D43" s="15">
        <v>2148</v>
      </c>
      <c r="E43" s="15">
        <v>280</v>
      </c>
      <c r="F43" s="15">
        <v>38</v>
      </c>
      <c r="G43" s="15">
        <v>38</v>
      </c>
      <c r="H43" s="15">
        <v>10007</v>
      </c>
      <c r="I43" s="15">
        <v>33787</v>
      </c>
      <c r="J43" s="15">
        <v>161.61</v>
      </c>
      <c r="K43" s="15">
        <v>3.84</v>
      </c>
      <c r="L43" s="15">
        <v>1764</v>
      </c>
      <c r="M43" s="15">
        <v>1</v>
      </c>
      <c r="N43" s="15" t="s">
        <v>63</v>
      </c>
      <c r="O43" s="15" t="s">
        <v>50</v>
      </c>
    </row>
    <row r="44" spans="1:15" x14ac:dyDescent="0.25">
      <c r="A44" s="15" t="s">
        <v>107</v>
      </c>
      <c r="B44" s="15">
        <v>83.2</v>
      </c>
      <c r="C44" s="15">
        <v>33.01</v>
      </c>
      <c r="D44" s="15">
        <v>2010</v>
      </c>
      <c r="E44" s="15">
        <v>422</v>
      </c>
      <c r="F44" s="15">
        <v>38</v>
      </c>
      <c r="G44" s="15">
        <v>38</v>
      </c>
      <c r="H44" s="15">
        <v>10185</v>
      </c>
      <c r="I44" s="15">
        <v>34531</v>
      </c>
      <c r="J44" s="15">
        <v>164.46</v>
      </c>
      <c r="K44" s="15">
        <v>2.35</v>
      </c>
      <c r="L44" s="15">
        <v>1804</v>
      </c>
      <c r="M44" s="15">
        <v>1</v>
      </c>
      <c r="N44" s="15" t="s">
        <v>61</v>
      </c>
      <c r="O44" s="15" t="s">
        <v>50</v>
      </c>
    </row>
    <row r="45" spans="1:15" x14ac:dyDescent="0.25">
      <c r="A45" s="15" t="s">
        <v>108</v>
      </c>
      <c r="B45" s="15">
        <v>85.2</v>
      </c>
      <c r="C45" s="15">
        <v>32.1</v>
      </c>
      <c r="D45" s="15">
        <v>1320</v>
      </c>
      <c r="E45" s="15">
        <v>178</v>
      </c>
      <c r="F45" s="15">
        <v>38</v>
      </c>
      <c r="G45" s="15">
        <v>38</v>
      </c>
      <c r="H45" s="15">
        <v>10314</v>
      </c>
      <c r="I45" s="15">
        <v>35192</v>
      </c>
      <c r="J45" s="15">
        <v>166.4</v>
      </c>
      <c r="K45" s="15">
        <v>1.59</v>
      </c>
      <c r="L45" s="15">
        <v>1844</v>
      </c>
      <c r="M45" s="15">
        <v>1</v>
      </c>
      <c r="N45" s="15" t="s">
        <v>109</v>
      </c>
      <c r="O45" s="15" t="s">
        <v>50</v>
      </c>
    </row>
    <row r="46" spans="1:15" x14ac:dyDescent="0.25">
      <c r="A46" s="15" t="s">
        <v>110</v>
      </c>
      <c r="B46" s="15">
        <v>87.2</v>
      </c>
      <c r="C46" s="15">
        <v>32.13</v>
      </c>
      <c r="D46" s="15">
        <v>1407</v>
      </c>
      <c r="E46" s="15">
        <v>226</v>
      </c>
      <c r="F46" s="15">
        <v>38</v>
      </c>
      <c r="G46" s="15">
        <v>38</v>
      </c>
      <c r="H46" s="15">
        <v>10587</v>
      </c>
      <c r="I46" s="15">
        <v>36012</v>
      </c>
      <c r="J46" s="15">
        <v>171.2</v>
      </c>
      <c r="K46" s="15">
        <v>3.93</v>
      </c>
      <c r="L46" s="15">
        <v>1884</v>
      </c>
      <c r="M46" s="15">
        <v>1</v>
      </c>
      <c r="N46" s="15" t="s">
        <v>66</v>
      </c>
      <c r="O46" s="15" t="s">
        <v>50</v>
      </c>
    </row>
    <row r="47" spans="1:15" x14ac:dyDescent="0.25">
      <c r="A47" s="15" t="s">
        <v>111</v>
      </c>
      <c r="B47" s="15">
        <v>89.3</v>
      </c>
      <c r="C47" s="15">
        <v>32.62</v>
      </c>
      <c r="D47" s="15">
        <v>2025</v>
      </c>
      <c r="E47" s="15">
        <v>429</v>
      </c>
      <c r="F47" s="15">
        <v>38</v>
      </c>
      <c r="G47" s="15">
        <v>38</v>
      </c>
      <c r="H47" s="15">
        <v>10759</v>
      </c>
      <c r="I47" s="15">
        <v>36742</v>
      </c>
      <c r="J47" s="15">
        <v>173.52</v>
      </c>
      <c r="K47" s="15">
        <v>1.92</v>
      </c>
      <c r="L47" s="15">
        <v>1924</v>
      </c>
      <c r="M47" s="15">
        <v>1</v>
      </c>
      <c r="N47" s="15" t="s">
        <v>61</v>
      </c>
      <c r="O47" s="15" t="s">
        <v>50</v>
      </c>
    </row>
    <row r="48" spans="1:15" x14ac:dyDescent="0.25">
      <c r="A48" s="15" t="s">
        <v>112</v>
      </c>
      <c r="B48" s="15">
        <v>91.3</v>
      </c>
      <c r="C48" s="15">
        <v>32.77</v>
      </c>
      <c r="D48" s="15">
        <v>1468</v>
      </c>
      <c r="E48" s="15">
        <v>243</v>
      </c>
      <c r="F48" s="15">
        <v>38</v>
      </c>
      <c r="G48" s="15">
        <v>38</v>
      </c>
      <c r="H48" s="15">
        <v>10942</v>
      </c>
      <c r="I48" s="15">
        <v>37383</v>
      </c>
      <c r="J48" s="15">
        <v>176.66</v>
      </c>
      <c r="K48" s="15">
        <v>2.57</v>
      </c>
      <c r="L48" s="15">
        <v>1964</v>
      </c>
      <c r="M48" s="15">
        <v>1</v>
      </c>
      <c r="N48" s="15" t="s">
        <v>47</v>
      </c>
      <c r="O48" s="15" t="s">
        <v>50</v>
      </c>
    </row>
    <row r="49" spans="1:15" x14ac:dyDescent="0.25">
      <c r="A49" s="15" t="s">
        <v>113</v>
      </c>
      <c r="B49" s="15">
        <v>93.3</v>
      </c>
      <c r="C49" s="15">
        <v>32.6</v>
      </c>
      <c r="D49" s="15">
        <v>2143</v>
      </c>
      <c r="E49" s="15">
        <v>282</v>
      </c>
      <c r="F49" s="15">
        <v>38</v>
      </c>
      <c r="G49" s="15">
        <v>38</v>
      </c>
      <c r="H49" s="15">
        <v>11055</v>
      </c>
      <c r="I49" s="15">
        <v>38050</v>
      </c>
      <c r="J49" s="15">
        <v>178.99</v>
      </c>
      <c r="K49" s="15">
        <v>1.91</v>
      </c>
      <c r="L49" s="15">
        <v>2004</v>
      </c>
      <c r="M49" s="15">
        <v>1</v>
      </c>
      <c r="N49" s="15" t="s">
        <v>63</v>
      </c>
      <c r="O49" s="15" t="s">
        <v>50</v>
      </c>
    </row>
    <row r="50" spans="1:15" x14ac:dyDescent="0.25">
      <c r="A50" s="15" t="s">
        <v>114</v>
      </c>
      <c r="B50" s="15">
        <v>95.4</v>
      </c>
      <c r="C50" s="15">
        <v>32.71</v>
      </c>
      <c r="D50" s="15">
        <v>2087</v>
      </c>
      <c r="E50" s="15">
        <v>445</v>
      </c>
      <c r="F50" s="15">
        <v>38</v>
      </c>
      <c r="G50" s="15">
        <v>38</v>
      </c>
      <c r="H50" s="15">
        <v>11152</v>
      </c>
      <c r="I50" s="15">
        <v>38686</v>
      </c>
      <c r="J50" s="15">
        <v>181.81</v>
      </c>
      <c r="K50" s="15">
        <v>2.32</v>
      </c>
      <c r="L50" s="15">
        <v>2044</v>
      </c>
      <c r="M50" s="15">
        <v>1</v>
      </c>
      <c r="N50" s="15" t="s">
        <v>76</v>
      </c>
      <c r="O50" s="15" t="s">
        <v>50</v>
      </c>
    </row>
    <row r="51" spans="1:15" x14ac:dyDescent="0.25">
      <c r="A51" s="15" t="s">
        <v>115</v>
      </c>
      <c r="B51" s="15">
        <v>97.4</v>
      </c>
      <c r="C51" s="15">
        <v>32.65</v>
      </c>
      <c r="D51" s="15">
        <v>2136</v>
      </c>
      <c r="E51" s="15">
        <v>384</v>
      </c>
      <c r="F51" s="15">
        <v>38</v>
      </c>
      <c r="G51" s="15">
        <v>38</v>
      </c>
      <c r="H51" s="15">
        <v>11385</v>
      </c>
      <c r="I51" s="15">
        <v>39437</v>
      </c>
      <c r="J51" s="15">
        <v>185.62</v>
      </c>
      <c r="K51" s="15">
        <v>3.12</v>
      </c>
      <c r="L51" s="15">
        <v>2084</v>
      </c>
      <c r="M51" s="15">
        <v>1</v>
      </c>
      <c r="N51" s="15" t="s">
        <v>116</v>
      </c>
      <c r="O51" s="15" t="s">
        <v>50</v>
      </c>
    </row>
    <row r="52" spans="1:15" x14ac:dyDescent="0.25">
      <c r="A52" s="15" t="s">
        <v>117</v>
      </c>
      <c r="B52" s="15">
        <v>99.4</v>
      </c>
      <c r="C52" s="15">
        <v>33.25</v>
      </c>
      <c r="D52" s="15">
        <v>2569</v>
      </c>
      <c r="E52" s="15">
        <v>532</v>
      </c>
      <c r="F52" s="15">
        <v>38</v>
      </c>
      <c r="G52" s="15">
        <v>38</v>
      </c>
      <c r="H52" s="15">
        <v>11664</v>
      </c>
      <c r="I52" s="15">
        <v>40368</v>
      </c>
      <c r="J52" s="15">
        <v>190.81</v>
      </c>
      <c r="K52" s="15">
        <v>4.26</v>
      </c>
      <c r="L52" s="15">
        <v>2124</v>
      </c>
      <c r="M52" s="15">
        <v>1</v>
      </c>
      <c r="N52" s="15" t="s">
        <v>59</v>
      </c>
      <c r="O52" s="15" t="s">
        <v>50</v>
      </c>
    </row>
    <row r="53" spans="1:15" x14ac:dyDescent="0.25">
      <c r="A53" s="15" t="s">
        <v>118</v>
      </c>
      <c r="B53" s="15">
        <v>101.5</v>
      </c>
      <c r="C53" s="15">
        <v>33.06</v>
      </c>
      <c r="D53" s="15">
        <v>2262</v>
      </c>
      <c r="E53" s="15">
        <v>368</v>
      </c>
      <c r="F53" s="15">
        <v>38</v>
      </c>
      <c r="G53" s="15">
        <v>38</v>
      </c>
      <c r="H53" s="15">
        <v>11797</v>
      </c>
      <c r="I53" s="15">
        <v>41053</v>
      </c>
      <c r="J53" s="15">
        <v>193.32</v>
      </c>
      <c r="K53" s="15">
        <v>2.06</v>
      </c>
      <c r="L53" s="15">
        <v>2164</v>
      </c>
      <c r="M53" s="15">
        <v>1</v>
      </c>
      <c r="N53" s="15" t="s">
        <v>54</v>
      </c>
      <c r="O53" s="15" t="s">
        <v>50</v>
      </c>
    </row>
    <row r="54" spans="1:15" x14ac:dyDescent="0.25">
      <c r="A54" s="15" t="s">
        <v>119</v>
      </c>
      <c r="B54" s="15">
        <v>103.5</v>
      </c>
      <c r="C54" s="15">
        <v>33.35</v>
      </c>
      <c r="D54" s="15">
        <v>2060</v>
      </c>
      <c r="E54" s="15">
        <v>322</v>
      </c>
      <c r="F54" s="15">
        <v>38</v>
      </c>
      <c r="G54" s="15">
        <v>38</v>
      </c>
      <c r="H54" s="15">
        <v>11937</v>
      </c>
      <c r="I54" s="15">
        <v>41676</v>
      </c>
      <c r="J54" s="15">
        <v>195.94</v>
      </c>
      <c r="K54" s="15">
        <v>2.16</v>
      </c>
      <c r="L54" s="15">
        <v>2204</v>
      </c>
      <c r="M54" s="15">
        <v>1</v>
      </c>
      <c r="N54" s="15" t="s">
        <v>100</v>
      </c>
      <c r="O54" s="15" t="s">
        <v>50</v>
      </c>
    </row>
    <row r="55" spans="1:15" x14ac:dyDescent="0.25">
      <c r="A55" s="15" t="s">
        <v>120</v>
      </c>
      <c r="B55" s="15">
        <v>105.5</v>
      </c>
      <c r="C55" s="15">
        <v>32.96</v>
      </c>
      <c r="D55" s="15">
        <v>1471</v>
      </c>
      <c r="E55" s="15">
        <v>208</v>
      </c>
      <c r="F55" s="15">
        <v>38</v>
      </c>
      <c r="G55" s="15">
        <v>38</v>
      </c>
      <c r="H55" s="15">
        <v>12107</v>
      </c>
      <c r="I55" s="15">
        <v>42501</v>
      </c>
      <c r="J55" s="15">
        <v>199.05</v>
      </c>
      <c r="K55" s="15">
        <v>2.55</v>
      </c>
      <c r="L55" s="15">
        <v>2244</v>
      </c>
      <c r="M55" s="15">
        <v>1</v>
      </c>
      <c r="N55" s="15" t="s">
        <v>121</v>
      </c>
      <c r="O55" s="15" t="s">
        <v>50</v>
      </c>
    </row>
    <row r="56" spans="1:15" x14ac:dyDescent="0.25">
      <c r="A56" s="15" t="s">
        <v>122</v>
      </c>
      <c r="B56" s="15">
        <v>107.5</v>
      </c>
      <c r="C56" s="15">
        <v>32.96</v>
      </c>
      <c r="D56" s="15">
        <v>2145</v>
      </c>
      <c r="E56" s="15">
        <v>429</v>
      </c>
      <c r="F56" s="15">
        <v>38</v>
      </c>
      <c r="G56" s="15">
        <v>38</v>
      </c>
      <c r="H56" s="15">
        <v>12291</v>
      </c>
      <c r="I56" s="15">
        <v>43377</v>
      </c>
      <c r="J56" s="15">
        <v>202.08</v>
      </c>
      <c r="K56" s="15">
        <v>2.49</v>
      </c>
      <c r="L56" s="15">
        <v>2284</v>
      </c>
      <c r="M56" s="15">
        <v>1</v>
      </c>
      <c r="N56" s="15" t="s">
        <v>83</v>
      </c>
      <c r="O56" s="15" t="s">
        <v>50</v>
      </c>
    </row>
    <row r="57" spans="1:15" x14ac:dyDescent="0.25">
      <c r="A57" s="15" t="s">
        <v>123</v>
      </c>
      <c r="B57" s="15">
        <v>109.6</v>
      </c>
      <c r="C57" s="15">
        <v>32.76</v>
      </c>
      <c r="D57" s="15">
        <v>2136</v>
      </c>
      <c r="E57" s="15">
        <v>384</v>
      </c>
      <c r="F57" s="15">
        <v>38</v>
      </c>
      <c r="G57" s="15">
        <v>38</v>
      </c>
      <c r="H57" s="15">
        <v>12512</v>
      </c>
      <c r="I57" s="15">
        <v>44042</v>
      </c>
      <c r="J57" s="15">
        <v>205.51</v>
      </c>
      <c r="K57" s="15">
        <v>2.83</v>
      </c>
      <c r="L57" s="15">
        <v>2324</v>
      </c>
      <c r="M57" s="15">
        <v>1</v>
      </c>
      <c r="N57" s="15" t="s">
        <v>116</v>
      </c>
      <c r="O57" s="15" t="s">
        <v>50</v>
      </c>
    </row>
    <row r="58" spans="1:15" x14ac:dyDescent="0.25">
      <c r="A58" s="15" t="s">
        <v>124</v>
      </c>
      <c r="B58" s="15">
        <v>111.6</v>
      </c>
      <c r="C58" s="15">
        <v>33.15</v>
      </c>
      <c r="D58" s="15">
        <v>2529</v>
      </c>
      <c r="E58" s="15">
        <v>514</v>
      </c>
      <c r="F58" s="15">
        <v>38</v>
      </c>
      <c r="G58" s="15">
        <v>38</v>
      </c>
      <c r="H58" s="15">
        <v>12812</v>
      </c>
      <c r="I58" s="15">
        <v>44842</v>
      </c>
      <c r="J58" s="15">
        <v>209.36</v>
      </c>
      <c r="K58" s="15">
        <v>3.17</v>
      </c>
      <c r="L58" s="15">
        <v>2364</v>
      </c>
      <c r="M58" s="15">
        <v>1</v>
      </c>
      <c r="N58" s="15" t="s">
        <v>59</v>
      </c>
      <c r="O58" s="15" t="s">
        <v>50</v>
      </c>
    </row>
    <row r="59" spans="1:15" x14ac:dyDescent="0.25">
      <c r="A59" s="15" t="s">
        <v>125</v>
      </c>
      <c r="B59" s="15">
        <v>113.6</v>
      </c>
      <c r="C59" s="15">
        <v>33.07</v>
      </c>
      <c r="D59" s="15">
        <v>2143</v>
      </c>
      <c r="E59" s="15">
        <v>282</v>
      </c>
      <c r="F59" s="15">
        <v>38</v>
      </c>
      <c r="G59" s="15">
        <v>38</v>
      </c>
      <c r="H59" s="15">
        <v>12965</v>
      </c>
      <c r="I59" s="15">
        <v>45535</v>
      </c>
      <c r="J59" s="15">
        <v>211.79</v>
      </c>
      <c r="K59" s="15">
        <v>2</v>
      </c>
      <c r="L59" s="15">
        <v>2404</v>
      </c>
      <c r="M59" s="15">
        <v>1</v>
      </c>
      <c r="N59" s="15" t="s">
        <v>63</v>
      </c>
      <c r="O59" s="15" t="s">
        <v>50</v>
      </c>
    </row>
    <row r="60" spans="1:15" x14ac:dyDescent="0.25">
      <c r="A60" s="15" t="s">
        <v>126</v>
      </c>
      <c r="B60" s="15">
        <v>115.6</v>
      </c>
      <c r="C60" s="15">
        <v>32.59</v>
      </c>
      <c r="D60" s="15">
        <v>1347</v>
      </c>
      <c r="E60" s="15">
        <v>191</v>
      </c>
      <c r="F60" s="15">
        <v>38</v>
      </c>
      <c r="G60" s="15">
        <v>38</v>
      </c>
      <c r="H60" s="15">
        <v>13115</v>
      </c>
      <c r="I60" s="15">
        <v>46078</v>
      </c>
      <c r="J60" s="15">
        <v>214.47</v>
      </c>
      <c r="K60" s="15">
        <v>2.2</v>
      </c>
      <c r="L60" s="15">
        <v>2445</v>
      </c>
      <c r="M60" s="15">
        <v>1</v>
      </c>
      <c r="N60" s="15" t="s">
        <v>93</v>
      </c>
      <c r="O60" s="15" t="s">
        <v>50</v>
      </c>
    </row>
    <row r="61" spans="1:15" x14ac:dyDescent="0.25">
      <c r="A61" s="15" t="s">
        <v>127</v>
      </c>
      <c r="B61" s="15">
        <v>117.7</v>
      </c>
      <c r="C61" s="15">
        <v>33.11</v>
      </c>
      <c r="D61" s="15">
        <v>2139</v>
      </c>
      <c r="E61" s="15">
        <v>278</v>
      </c>
      <c r="F61" s="15">
        <v>38</v>
      </c>
      <c r="G61" s="15">
        <v>38</v>
      </c>
      <c r="H61" s="15">
        <v>13388</v>
      </c>
      <c r="I61" s="15">
        <v>46977</v>
      </c>
      <c r="J61" s="15">
        <v>218.44</v>
      </c>
      <c r="K61" s="15">
        <v>3.26</v>
      </c>
      <c r="L61" s="15">
        <v>2485</v>
      </c>
      <c r="M61" s="15">
        <v>1</v>
      </c>
      <c r="N61" s="15" t="s">
        <v>63</v>
      </c>
      <c r="O61" s="15" t="s">
        <v>50</v>
      </c>
    </row>
    <row r="62" spans="1:15" x14ac:dyDescent="0.25">
      <c r="A62" s="15" t="s">
        <v>128</v>
      </c>
      <c r="B62" s="15">
        <v>119.7</v>
      </c>
      <c r="C62" s="15">
        <v>33.07</v>
      </c>
      <c r="D62" s="15">
        <v>2171</v>
      </c>
      <c r="E62" s="15">
        <v>285</v>
      </c>
      <c r="F62" s="15">
        <v>38</v>
      </c>
      <c r="G62" s="15">
        <v>38</v>
      </c>
      <c r="H62" s="15">
        <v>13622</v>
      </c>
      <c r="I62" s="15">
        <v>47771</v>
      </c>
      <c r="J62" s="15">
        <v>221.81</v>
      </c>
      <c r="K62" s="15">
        <v>2.76</v>
      </c>
      <c r="L62" s="15">
        <v>2525</v>
      </c>
      <c r="M62" s="15">
        <v>1</v>
      </c>
      <c r="N62" s="15" t="s">
        <v>63</v>
      </c>
      <c r="O62" s="15" t="s">
        <v>50</v>
      </c>
    </row>
    <row r="63" spans="1:15" x14ac:dyDescent="0.25">
      <c r="A63" s="15" t="s">
        <v>129</v>
      </c>
      <c r="B63" s="15">
        <v>121.7</v>
      </c>
      <c r="C63" s="15">
        <v>33.08</v>
      </c>
      <c r="D63" s="15">
        <v>2141</v>
      </c>
      <c r="E63" s="15">
        <v>278</v>
      </c>
      <c r="F63" s="15">
        <v>38</v>
      </c>
      <c r="G63" s="15">
        <v>38</v>
      </c>
      <c r="H63" s="15">
        <v>13817</v>
      </c>
      <c r="I63" s="15">
        <v>48492</v>
      </c>
      <c r="J63" s="15">
        <v>224.35</v>
      </c>
      <c r="K63" s="15">
        <v>2.09</v>
      </c>
      <c r="L63" s="15">
        <v>2565</v>
      </c>
      <c r="M63" s="15">
        <v>1</v>
      </c>
      <c r="N63" s="15" t="s">
        <v>63</v>
      </c>
      <c r="O63" s="15" t="s">
        <v>50</v>
      </c>
    </row>
    <row r="64" spans="1:15" x14ac:dyDescent="0.25">
      <c r="A64" s="15" t="s">
        <v>130</v>
      </c>
      <c r="B64" s="15">
        <v>124</v>
      </c>
      <c r="C64" s="15">
        <v>32.92</v>
      </c>
      <c r="D64" s="15">
        <v>2016</v>
      </c>
      <c r="E64" s="15">
        <v>418</v>
      </c>
      <c r="F64" s="15">
        <v>38</v>
      </c>
      <c r="G64" s="15">
        <v>38</v>
      </c>
      <c r="H64" s="15">
        <v>14069</v>
      </c>
      <c r="I64" s="15">
        <v>49282</v>
      </c>
      <c r="J64" s="15">
        <v>241.09</v>
      </c>
      <c r="K64" s="15">
        <v>12.29</v>
      </c>
      <c r="L64" s="15">
        <v>2605</v>
      </c>
      <c r="M64" s="15">
        <v>1</v>
      </c>
      <c r="N64" s="15" t="s">
        <v>61</v>
      </c>
      <c r="O64" s="15" t="s">
        <v>50</v>
      </c>
    </row>
    <row r="65" spans="1:15" x14ac:dyDescent="0.25">
      <c r="A65" s="15" t="s">
        <v>131</v>
      </c>
      <c r="B65" s="15">
        <v>126</v>
      </c>
      <c r="C65" s="15">
        <v>33.01</v>
      </c>
      <c r="D65" s="15">
        <v>2133</v>
      </c>
      <c r="E65" s="15">
        <v>325</v>
      </c>
      <c r="F65" s="15">
        <v>38</v>
      </c>
      <c r="G65" s="15">
        <v>38</v>
      </c>
      <c r="H65" s="15">
        <v>14248</v>
      </c>
      <c r="I65" s="15">
        <v>50011</v>
      </c>
      <c r="J65" s="15">
        <v>244.33</v>
      </c>
      <c r="K65" s="15">
        <v>2.67</v>
      </c>
      <c r="L65" s="15">
        <v>2645</v>
      </c>
      <c r="M65" s="15">
        <v>1</v>
      </c>
      <c r="N65" s="15" t="s">
        <v>100</v>
      </c>
      <c r="O65" s="15" t="s">
        <v>50</v>
      </c>
    </row>
    <row r="66" spans="1:15" x14ac:dyDescent="0.25">
      <c r="A66" s="15" t="s">
        <v>132</v>
      </c>
      <c r="B66" s="15">
        <v>128.1</v>
      </c>
      <c r="C66" s="15">
        <v>33.46</v>
      </c>
      <c r="D66" s="15">
        <v>1468</v>
      </c>
      <c r="E66" s="15">
        <v>243</v>
      </c>
      <c r="F66" s="15">
        <v>38</v>
      </c>
      <c r="G66" s="15">
        <v>38</v>
      </c>
      <c r="H66" s="15">
        <v>14580</v>
      </c>
      <c r="I66" s="15">
        <v>50928</v>
      </c>
      <c r="J66" s="15">
        <v>248.81</v>
      </c>
      <c r="K66" s="15">
        <v>3.67</v>
      </c>
      <c r="L66" s="15">
        <v>2685</v>
      </c>
      <c r="M66" s="15">
        <v>1</v>
      </c>
      <c r="N66" s="15" t="s">
        <v>47</v>
      </c>
      <c r="O66" s="15" t="s">
        <v>50</v>
      </c>
    </row>
    <row r="67" spans="1:15" x14ac:dyDescent="0.25">
      <c r="A67" s="15" t="s">
        <v>133</v>
      </c>
      <c r="B67" s="15">
        <v>130.1</v>
      </c>
      <c r="C67" s="15">
        <v>33.23</v>
      </c>
      <c r="D67" s="15">
        <v>2529</v>
      </c>
      <c r="E67" s="15">
        <v>514</v>
      </c>
      <c r="F67" s="15">
        <v>38</v>
      </c>
      <c r="G67" s="15">
        <v>38</v>
      </c>
      <c r="H67" s="15">
        <v>14812</v>
      </c>
      <c r="I67" s="15">
        <v>51533</v>
      </c>
      <c r="J67" s="15">
        <v>252.47</v>
      </c>
      <c r="K67" s="15">
        <v>3</v>
      </c>
      <c r="L67" s="15">
        <v>2725</v>
      </c>
      <c r="M67" s="15">
        <v>1</v>
      </c>
      <c r="N67" s="15" t="s">
        <v>59</v>
      </c>
      <c r="O67" s="15" t="s">
        <v>50</v>
      </c>
    </row>
    <row r="68" spans="1:15" x14ac:dyDescent="0.25">
      <c r="A68" s="15" t="s">
        <v>134</v>
      </c>
      <c r="B68" s="15">
        <v>132.1</v>
      </c>
      <c r="C68" s="15">
        <v>33.26</v>
      </c>
      <c r="D68" s="15">
        <v>1464</v>
      </c>
      <c r="E68" s="15">
        <v>236</v>
      </c>
      <c r="F68" s="15">
        <v>38</v>
      </c>
      <c r="G68" s="15">
        <v>38</v>
      </c>
      <c r="H68" s="15">
        <v>15080</v>
      </c>
      <c r="I68" s="15">
        <v>52286</v>
      </c>
      <c r="J68" s="15">
        <v>256.37</v>
      </c>
      <c r="K68" s="15">
        <v>3.2</v>
      </c>
      <c r="L68" s="15">
        <v>2765</v>
      </c>
      <c r="M68" s="15">
        <v>1</v>
      </c>
      <c r="N68" s="15" t="s">
        <v>47</v>
      </c>
      <c r="O68" s="15" t="s">
        <v>50</v>
      </c>
    </row>
    <row r="69" spans="1:15" x14ac:dyDescent="0.25">
      <c r="A69" s="15" t="s">
        <v>135</v>
      </c>
      <c r="B69" s="15">
        <v>134.2</v>
      </c>
      <c r="C69" s="15">
        <v>35.58</v>
      </c>
      <c r="D69" s="15">
        <v>2408</v>
      </c>
      <c r="E69" s="15">
        <v>448</v>
      </c>
      <c r="F69" s="15">
        <v>38</v>
      </c>
      <c r="G69" s="15">
        <v>38</v>
      </c>
      <c r="H69" s="15">
        <v>15360</v>
      </c>
      <c r="I69" s="15">
        <v>53092</v>
      </c>
      <c r="J69" s="15">
        <v>260.28</v>
      </c>
      <c r="K69" s="15">
        <v>3.2</v>
      </c>
      <c r="L69" s="15">
        <v>2805</v>
      </c>
      <c r="M69" s="15">
        <v>1</v>
      </c>
      <c r="N69" s="15" t="s">
        <v>47</v>
      </c>
      <c r="O69" s="15" t="s">
        <v>50</v>
      </c>
    </row>
    <row r="70" spans="1:15" x14ac:dyDescent="0.25">
      <c r="A70" s="15" t="s">
        <v>136</v>
      </c>
      <c r="B70" s="15">
        <v>136.2</v>
      </c>
      <c r="C70" s="15">
        <v>32.48</v>
      </c>
      <c r="D70" s="15">
        <v>1347</v>
      </c>
      <c r="E70" s="15">
        <v>194</v>
      </c>
      <c r="F70" s="15">
        <v>38</v>
      </c>
      <c r="G70" s="15">
        <v>38</v>
      </c>
      <c r="H70" s="15">
        <v>15543</v>
      </c>
      <c r="I70" s="15">
        <v>53853</v>
      </c>
      <c r="J70" s="15">
        <v>263.42</v>
      </c>
      <c r="K70" s="15">
        <v>2.58</v>
      </c>
      <c r="L70" s="15">
        <v>2844</v>
      </c>
      <c r="M70" s="15">
        <v>1</v>
      </c>
      <c r="N70" s="15" t="s">
        <v>109</v>
      </c>
      <c r="O70" s="15" t="s">
        <v>50</v>
      </c>
    </row>
    <row r="71" spans="1:15" x14ac:dyDescent="0.25">
      <c r="A71" s="15" t="s">
        <v>137</v>
      </c>
      <c r="B71" s="15">
        <v>138.2</v>
      </c>
      <c r="C71" s="15">
        <v>33.14</v>
      </c>
      <c r="D71" s="15">
        <v>1464</v>
      </c>
      <c r="E71" s="15">
        <v>236</v>
      </c>
      <c r="F71" s="15">
        <v>38</v>
      </c>
      <c r="G71" s="15">
        <v>38</v>
      </c>
      <c r="H71" s="15">
        <v>15775</v>
      </c>
      <c r="I71" s="15">
        <v>54684</v>
      </c>
      <c r="J71" s="15">
        <v>266.74</v>
      </c>
      <c r="K71" s="15">
        <v>2.73</v>
      </c>
      <c r="L71" s="15">
        <v>2884</v>
      </c>
      <c r="M71" s="15">
        <v>1</v>
      </c>
      <c r="N71" s="15" t="s">
        <v>47</v>
      </c>
      <c r="O71" s="15" t="s">
        <v>50</v>
      </c>
    </row>
    <row r="72" spans="1:15" x14ac:dyDescent="0.25">
      <c r="A72" s="15" t="s">
        <v>138</v>
      </c>
      <c r="B72" s="15">
        <v>140.3</v>
      </c>
      <c r="C72" s="15">
        <v>33</v>
      </c>
      <c r="D72" s="15">
        <v>2171</v>
      </c>
      <c r="E72" s="15">
        <v>285</v>
      </c>
      <c r="F72" s="15">
        <v>38</v>
      </c>
      <c r="G72" s="15">
        <v>38</v>
      </c>
      <c r="H72" s="15">
        <v>15950</v>
      </c>
      <c r="I72" s="15">
        <v>55430</v>
      </c>
      <c r="J72" s="15">
        <v>270.56</v>
      </c>
      <c r="K72" s="15">
        <v>3.13</v>
      </c>
      <c r="L72" s="15">
        <v>2924</v>
      </c>
      <c r="M72" s="15">
        <v>1</v>
      </c>
      <c r="N72" s="15" t="s">
        <v>63</v>
      </c>
      <c r="O72" s="15" t="s">
        <v>50</v>
      </c>
    </row>
    <row r="73" spans="1:15" x14ac:dyDescent="0.25">
      <c r="A73" s="15" t="s">
        <v>139</v>
      </c>
      <c r="B73" s="15">
        <v>142.3</v>
      </c>
      <c r="C73" s="15">
        <v>32.55</v>
      </c>
      <c r="D73" s="15">
        <v>1359</v>
      </c>
      <c r="E73" s="15">
        <v>190</v>
      </c>
      <c r="F73" s="15">
        <v>38</v>
      </c>
      <c r="G73" s="15">
        <v>38</v>
      </c>
      <c r="H73" s="15">
        <v>16215</v>
      </c>
      <c r="I73" s="15">
        <v>56153</v>
      </c>
      <c r="J73" s="15">
        <v>275.03</v>
      </c>
      <c r="K73" s="15">
        <v>3.66</v>
      </c>
      <c r="L73" s="15">
        <v>2964</v>
      </c>
      <c r="M73" s="15">
        <v>1</v>
      </c>
      <c r="N73" s="15" t="s">
        <v>52</v>
      </c>
      <c r="O73" s="15" t="s">
        <v>50</v>
      </c>
    </row>
    <row r="74" spans="1:15" x14ac:dyDescent="0.25">
      <c r="A74" s="15" t="s">
        <v>140</v>
      </c>
      <c r="B74" s="15">
        <v>144.3</v>
      </c>
      <c r="C74" s="15">
        <v>33.27</v>
      </c>
      <c r="D74" s="15">
        <v>2161</v>
      </c>
      <c r="E74" s="15">
        <v>285</v>
      </c>
      <c r="F74" s="15">
        <v>38</v>
      </c>
      <c r="G74" s="15">
        <v>38</v>
      </c>
      <c r="H74" s="15">
        <v>16387</v>
      </c>
      <c r="I74" s="15">
        <v>56925</v>
      </c>
      <c r="J74" s="15">
        <v>277.63</v>
      </c>
      <c r="K74" s="15">
        <v>2.15</v>
      </c>
      <c r="L74" s="15">
        <v>3004</v>
      </c>
      <c r="M74" s="15">
        <v>1</v>
      </c>
      <c r="N74" s="15" t="s">
        <v>63</v>
      </c>
      <c r="O74" s="15" t="s">
        <v>50</v>
      </c>
    </row>
    <row r="75" spans="1:15" x14ac:dyDescent="0.25">
      <c r="A75" s="15" t="s">
        <v>141</v>
      </c>
      <c r="B75" s="15">
        <v>146.3</v>
      </c>
      <c r="C75" s="15">
        <v>33.36</v>
      </c>
      <c r="D75" s="15">
        <v>1513</v>
      </c>
      <c r="E75" s="15">
        <v>256</v>
      </c>
      <c r="F75" s="15">
        <v>38</v>
      </c>
      <c r="G75" s="15">
        <v>38</v>
      </c>
      <c r="H75" s="15">
        <v>16614</v>
      </c>
      <c r="I75" s="15">
        <v>57706</v>
      </c>
      <c r="J75" s="15">
        <v>280.6</v>
      </c>
      <c r="K75" s="15">
        <v>2.44</v>
      </c>
      <c r="L75" s="15">
        <v>3043</v>
      </c>
      <c r="M75" s="15">
        <v>1</v>
      </c>
      <c r="N75" s="15" t="s">
        <v>47</v>
      </c>
      <c r="O75" s="15" t="s">
        <v>50</v>
      </c>
    </row>
    <row r="76" spans="1:15" x14ac:dyDescent="0.25">
      <c r="A76" s="15" t="s">
        <v>142</v>
      </c>
      <c r="B76" s="15">
        <v>148.4</v>
      </c>
      <c r="C76" s="15">
        <v>33.05</v>
      </c>
      <c r="D76" s="15">
        <v>2153</v>
      </c>
      <c r="E76" s="15">
        <v>339</v>
      </c>
      <c r="F76" s="15">
        <v>38</v>
      </c>
      <c r="G76" s="15">
        <v>38</v>
      </c>
      <c r="H76" s="15">
        <v>16772</v>
      </c>
      <c r="I76" s="15">
        <v>58421</v>
      </c>
      <c r="J76" s="15">
        <v>283.44</v>
      </c>
      <c r="K76" s="15">
        <v>2.33</v>
      </c>
      <c r="L76" s="15">
        <v>3083</v>
      </c>
      <c r="M76" s="15">
        <v>1</v>
      </c>
      <c r="N76" s="15" t="s">
        <v>100</v>
      </c>
      <c r="O76" s="15" t="s">
        <v>50</v>
      </c>
    </row>
    <row r="77" spans="1:15" x14ac:dyDescent="0.25">
      <c r="A77" s="15" t="s">
        <v>143</v>
      </c>
      <c r="B77" s="15">
        <v>150.4</v>
      </c>
      <c r="C77" s="15">
        <v>32.61</v>
      </c>
      <c r="D77" s="15">
        <v>1370</v>
      </c>
      <c r="E77" s="15">
        <v>178</v>
      </c>
      <c r="F77" s="15">
        <v>38</v>
      </c>
      <c r="G77" s="15">
        <v>38</v>
      </c>
      <c r="H77" s="15">
        <v>16858</v>
      </c>
      <c r="I77" s="15">
        <v>59039</v>
      </c>
      <c r="J77" s="15">
        <v>285.41</v>
      </c>
      <c r="K77" s="15">
        <v>1.62</v>
      </c>
      <c r="L77" s="15">
        <v>3123</v>
      </c>
      <c r="M77" s="15">
        <v>1</v>
      </c>
      <c r="N77" s="15" t="s">
        <v>144</v>
      </c>
      <c r="O77" s="15" t="s">
        <v>50</v>
      </c>
    </row>
    <row r="78" spans="1:15" x14ac:dyDescent="0.25">
      <c r="A78" s="15" t="s">
        <v>145</v>
      </c>
      <c r="B78" s="15">
        <v>152.4</v>
      </c>
      <c r="C78" s="15">
        <v>32.43</v>
      </c>
      <c r="D78" s="15">
        <v>1350</v>
      </c>
      <c r="E78" s="15">
        <v>188</v>
      </c>
      <c r="F78" s="15">
        <v>38</v>
      </c>
      <c r="G78" s="15">
        <v>38</v>
      </c>
      <c r="H78" s="15">
        <v>17051</v>
      </c>
      <c r="I78" s="15">
        <v>59870</v>
      </c>
      <c r="J78" s="15">
        <v>287.92</v>
      </c>
      <c r="K78" s="15">
        <v>2.06</v>
      </c>
      <c r="L78" s="15">
        <v>3162</v>
      </c>
      <c r="M78" s="15">
        <v>1</v>
      </c>
      <c r="N78" s="15" t="s">
        <v>109</v>
      </c>
      <c r="O78" s="15" t="s">
        <v>50</v>
      </c>
    </row>
    <row r="79" spans="1:15" x14ac:dyDescent="0.25">
      <c r="A79" s="15" t="s">
        <v>146</v>
      </c>
      <c r="B79" s="15">
        <v>154.5</v>
      </c>
      <c r="C79" s="15">
        <v>33.78</v>
      </c>
      <c r="D79" s="15">
        <v>1464</v>
      </c>
      <c r="E79" s="15">
        <v>236</v>
      </c>
      <c r="F79" s="15">
        <v>38</v>
      </c>
      <c r="G79" s="15">
        <v>38</v>
      </c>
      <c r="H79" s="15">
        <v>17342</v>
      </c>
      <c r="I79" s="15">
        <v>60778</v>
      </c>
      <c r="J79" s="15">
        <v>292.38</v>
      </c>
      <c r="K79" s="15">
        <v>3.65</v>
      </c>
      <c r="L79" s="15">
        <v>3202</v>
      </c>
      <c r="M79" s="15">
        <v>1</v>
      </c>
      <c r="N79" s="15" t="s">
        <v>47</v>
      </c>
      <c r="O79" s="15" t="s">
        <v>50</v>
      </c>
    </row>
    <row r="80" spans="1:15" x14ac:dyDescent="0.25">
      <c r="A80" s="15" t="s">
        <v>147</v>
      </c>
      <c r="B80" s="15">
        <v>156.5</v>
      </c>
      <c r="C80" s="15">
        <v>33.29</v>
      </c>
      <c r="D80" s="15">
        <v>2121</v>
      </c>
      <c r="E80" s="15">
        <v>380</v>
      </c>
      <c r="F80" s="15">
        <v>38</v>
      </c>
      <c r="G80" s="15">
        <v>38</v>
      </c>
      <c r="H80" s="15">
        <v>17567</v>
      </c>
      <c r="I80" s="15">
        <v>61454</v>
      </c>
      <c r="J80" s="15">
        <v>296.45</v>
      </c>
      <c r="K80" s="15">
        <v>3.35</v>
      </c>
      <c r="L80" s="15">
        <v>3242</v>
      </c>
      <c r="M80" s="15">
        <v>1</v>
      </c>
      <c r="N80" s="15" t="s">
        <v>70</v>
      </c>
      <c r="O80" s="15" t="s">
        <v>50</v>
      </c>
    </row>
    <row r="81" spans="1:15" x14ac:dyDescent="0.25">
      <c r="A81" s="15" t="s">
        <v>148</v>
      </c>
      <c r="B81" s="15">
        <v>158.5</v>
      </c>
      <c r="C81" s="15">
        <v>32.51</v>
      </c>
      <c r="D81" s="15">
        <v>1316</v>
      </c>
      <c r="E81" s="15">
        <v>178</v>
      </c>
      <c r="F81" s="15">
        <v>38</v>
      </c>
      <c r="G81" s="15">
        <v>38</v>
      </c>
      <c r="H81" s="15">
        <v>17780</v>
      </c>
      <c r="I81" s="15">
        <v>62273</v>
      </c>
      <c r="J81" s="15">
        <v>299.52</v>
      </c>
      <c r="K81" s="15">
        <v>2.53</v>
      </c>
      <c r="L81" s="15">
        <v>3281</v>
      </c>
      <c r="M81" s="15">
        <v>1</v>
      </c>
      <c r="N81" s="15" t="s">
        <v>79</v>
      </c>
      <c r="O81" s="15" t="s">
        <v>50</v>
      </c>
    </row>
    <row r="82" spans="1:15" x14ac:dyDescent="0.25">
      <c r="A82" s="15" t="s">
        <v>149</v>
      </c>
      <c r="B82" s="15">
        <v>160.6</v>
      </c>
      <c r="C82" s="15">
        <v>33.27</v>
      </c>
      <c r="D82" s="15">
        <v>2157</v>
      </c>
      <c r="E82" s="15">
        <v>463</v>
      </c>
      <c r="F82" s="15">
        <v>38</v>
      </c>
      <c r="G82" s="15">
        <v>38</v>
      </c>
      <c r="H82" s="15">
        <v>18001</v>
      </c>
      <c r="I82" s="15">
        <v>62982</v>
      </c>
      <c r="J82" s="15">
        <v>302.37</v>
      </c>
      <c r="K82" s="15">
        <v>2.33</v>
      </c>
      <c r="L82" s="15">
        <v>3321</v>
      </c>
      <c r="M82" s="15">
        <v>1</v>
      </c>
      <c r="N82" s="15" t="s">
        <v>56</v>
      </c>
      <c r="O82" s="15" t="s">
        <v>50</v>
      </c>
    </row>
    <row r="83" spans="1:15" x14ac:dyDescent="0.25">
      <c r="A83" s="15" t="s">
        <v>150</v>
      </c>
      <c r="B83" s="15">
        <v>162.6</v>
      </c>
      <c r="C83" s="15">
        <v>33.39</v>
      </c>
      <c r="D83" s="15">
        <v>2534</v>
      </c>
      <c r="E83" s="15">
        <v>517</v>
      </c>
      <c r="F83" s="15">
        <v>38</v>
      </c>
      <c r="G83" s="15">
        <v>38</v>
      </c>
      <c r="H83" s="15">
        <v>18298</v>
      </c>
      <c r="I83" s="15">
        <v>63862</v>
      </c>
      <c r="J83" s="15">
        <v>307.34</v>
      </c>
      <c r="K83" s="15">
        <v>4.09</v>
      </c>
      <c r="L83" s="15">
        <v>3361</v>
      </c>
      <c r="M83" s="15">
        <v>1</v>
      </c>
      <c r="N83" s="15" t="s">
        <v>59</v>
      </c>
      <c r="O83" s="15" t="s">
        <v>50</v>
      </c>
    </row>
    <row r="84" spans="1:15" x14ac:dyDescent="0.25">
      <c r="A84" s="15" t="s">
        <v>151</v>
      </c>
      <c r="B84" s="15">
        <v>164.6</v>
      </c>
      <c r="C84" s="15">
        <v>32.64</v>
      </c>
      <c r="D84" s="15">
        <v>1407</v>
      </c>
      <c r="E84" s="15">
        <v>226</v>
      </c>
      <c r="F84" s="15">
        <v>38</v>
      </c>
      <c r="G84" s="15">
        <v>38</v>
      </c>
      <c r="H84" s="15">
        <v>18488</v>
      </c>
      <c r="I84" s="15">
        <v>64486</v>
      </c>
      <c r="J84" s="15">
        <v>309.33</v>
      </c>
      <c r="K84" s="15">
        <v>1.63</v>
      </c>
      <c r="L84" s="15">
        <v>3400</v>
      </c>
      <c r="M84" s="15">
        <v>1</v>
      </c>
      <c r="N84" s="15" t="s">
        <v>66</v>
      </c>
      <c r="O84" s="15" t="s">
        <v>50</v>
      </c>
    </row>
    <row r="85" spans="1:15" x14ac:dyDescent="0.25">
      <c r="A85" s="15" t="s">
        <v>152</v>
      </c>
      <c r="B85" s="15">
        <v>166.6</v>
      </c>
      <c r="C85" s="15">
        <v>32.73</v>
      </c>
      <c r="D85" s="15">
        <v>1323</v>
      </c>
      <c r="E85" s="15">
        <v>181</v>
      </c>
      <c r="F85" s="15">
        <v>38</v>
      </c>
      <c r="G85" s="15">
        <v>38</v>
      </c>
      <c r="H85" s="15">
        <v>18681</v>
      </c>
      <c r="I85" s="15">
        <v>65116</v>
      </c>
      <c r="J85" s="15">
        <v>312.37</v>
      </c>
      <c r="K85" s="15">
        <v>2.49</v>
      </c>
      <c r="L85" s="15">
        <v>3440</v>
      </c>
      <c r="M85" s="15">
        <v>1</v>
      </c>
      <c r="N85" s="15" t="s">
        <v>109</v>
      </c>
      <c r="O85" s="15" t="s">
        <v>50</v>
      </c>
    </row>
    <row r="86" spans="1:15" x14ac:dyDescent="0.25">
      <c r="A86" s="15" t="s">
        <v>153</v>
      </c>
      <c r="B86" s="15">
        <v>168.7</v>
      </c>
      <c r="C86" s="15">
        <v>33.11</v>
      </c>
      <c r="D86" s="15">
        <v>1481</v>
      </c>
      <c r="E86" s="15">
        <v>214</v>
      </c>
      <c r="F86" s="15">
        <v>38</v>
      </c>
      <c r="G86" s="15">
        <v>38</v>
      </c>
      <c r="H86" s="15">
        <v>18949</v>
      </c>
      <c r="I86" s="15">
        <v>66014</v>
      </c>
      <c r="J86" s="15">
        <v>315.6</v>
      </c>
      <c r="K86" s="15">
        <v>2.67</v>
      </c>
      <c r="L86" s="15">
        <v>3480</v>
      </c>
      <c r="M86" s="15">
        <v>1</v>
      </c>
      <c r="N86" s="15" t="s">
        <v>154</v>
      </c>
      <c r="O86" s="15" t="s">
        <v>50</v>
      </c>
    </row>
    <row r="87" spans="1:15" x14ac:dyDescent="0.25">
      <c r="A87" s="15" t="s">
        <v>155</v>
      </c>
      <c r="B87" s="15">
        <v>170.7</v>
      </c>
      <c r="C87" s="15">
        <v>32.7</v>
      </c>
      <c r="D87" s="15">
        <v>1357</v>
      </c>
      <c r="E87" s="15">
        <v>182</v>
      </c>
      <c r="F87" s="15">
        <v>38</v>
      </c>
      <c r="G87" s="15">
        <v>38</v>
      </c>
      <c r="H87" s="15">
        <v>19111</v>
      </c>
      <c r="I87" s="15">
        <v>66733</v>
      </c>
      <c r="J87" s="15">
        <v>318.72</v>
      </c>
      <c r="K87" s="15">
        <v>2.57</v>
      </c>
      <c r="L87" s="15">
        <v>3519</v>
      </c>
      <c r="M87" s="15">
        <v>1</v>
      </c>
      <c r="N87" s="15" t="s">
        <v>144</v>
      </c>
      <c r="O87" s="15" t="s">
        <v>50</v>
      </c>
    </row>
    <row r="88" spans="1:15" x14ac:dyDescent="0.25">
      <c r="A88" s="15" t="s">
        <v>156</v>
      </c>
      <c r="B88" s="15">
        <v>172.7</v>
      </c>
      <c r="C88" s="15">
        <v>33.74</v>
      </c>
      <c r="D88" s="15">
        <v>2481</v>
      </c>
      <c r="E88" s="15">
        <v>530</v>
      </c>
      <c r="F88" s="15">
        <v>38</v>
      </c>
      <c r="G88" s="15">
        <v>38</v>
      </c>
      <c r="H88" s="15">
        <v>19396</v>
      </c>
      <c r="I88" s="15">
        <v>67545</v>
      </c>
      <c r="J88" s="15">
        <v>322.15</v>
      </c>
      <c r="K88" s="15">
        <v>2.8</v>
      </c>
      <c r="L88" s="15">
        <v>3559</v>
      </c>
      <c r="M88" s="15">
        <v>1</v>
      </c>
      <c r="N88" s="15" t="s">
        <v>70</v>
      </c>
      <c r="O88" s="15" t="s">
        <v>50</v>
      </c>
    </row>
    <row r="89" spans="1:15" x14ac:dyDescent="0.25">
      <c r="A89" s="15" t="s">
        <v>157</v>
      </c>
      <c r="B89" s="15">
        <v>174.8</v>
      </c>
      <c r="C89" s="15">
        <v>33.19</v>
      </c>
      <c r="D89" s="15">
        <v>2109</v>
      </c>
      <c r="E89" s="15">
        <v>262</v>
      </c>
      <c r="F89" s="15">
        <v>38</v>
      </c>
      <c r="G89" s="15">
        <v>38</v>
      </c>
      <c r="H89" s="15">
        <v>19586</v>
      </c>
      <c r="I89" s="15">
        <v>68240</v>
      </c>
      <c r="J89" s="15">
        <v>325.08</v>
      </c>
      <c r="K89" s="15">
        <v>2.42</v>
      </c>
      <c r="L89" s="15">
        <v>3598</v>
      </c>
      <c r="M89" s="15">
        <v>1</v>
      </c>
      <c r="N89" s="15" t="s">
        <v>63</v>
      </c>
      <c r="O89" s="15" t="s">
        <v>50</v>
      </c>
    </row>
    <row r="90" spans="1:15" x14ac:dyDescent="0.25">
      <c r="A90" s="15" t="s">
        <v>158</v>
      </c>
      <c r="B90" s="15">
        <v>176.8</v>
      </c>
      <c r="C90" s="15">
        <v>33.58</v>
      </c>
      <c r="D90" s="15">
        <v>2154</v>
      </c>
      <c r="E90" s="15">
        <v>280</v>
      </c>
      <c r="F90" s="15">
        <v>38</v>
      </c>
      <c r="G90" s="15">
        <v>38</v>
      </c>
      <c r="H90" s="15">
        <v>19823</v>
      </c>
      <c r="I90" s="15">
        <v>69120</v>
      </c>
      <c r="J90" s="15">
        <v>329.04</v>
      </c>
      <c r="K90" s="15">
        <v>3.26</v>
      </c>
      <c r="L90" s="15">
        <v>3638</v>
      </c>
      <c r="M90" s="15">
        <v>1</v>
      </c>
      <c r="N90" s="15" t="s">
        <v>63</v>
      </c>
      <c r="O90" s="15" t="s">
        <v>50</v>
      </c>
    </row>
    <row r="91" spans="1:15" x14ac:dyDescent="0.25">
      <c r="A91" s="15" t="s">
        <v>159</v>
      </c>
      <c r="B91" s="15">
        <v>178.8</v>
      </c>
      <c r="C91" s="15">
        <v>33.5</v>
      </c>
      <c r="D91" s="15">
        <v>2152</v>
      </c>
      <c r="E91" s="15">
        <v>396</v>
      </c>
      <c r="F91" s="15">
        <v>38</v>
      </c>
      <c r="G91" s="15">
        <v>38</v>
      </c>
      <c r="H91" s="15">
        <v>20073</v>
      </c>
      <c r="I91" s="15">
        <v>69944</v>
      </c>
      <c r="J91" s="15">
        <v>332.33</v>
      </c>
      <c r="K91" s="15">
        <v>2.69</v>
      </c>
      <c r="L91" s="15">
        <v>3677</v>
      </c>
      <c r="M91" s="15">
        <v>1</v>
      </c>
      <c r="N91" s="15" t="s">
        <v>70</v>
      </c>
      <c r="O91" s="15" t="s">
        <v>50</v>
      </c>
    </row>
    <row r="92" spans="1:15" x14ac:dyDescent="0.25">
      <c r="A92" s="15" t="s">
        <v>160</v>
      </c>
      <c r="B92" s="15">
        <v>180.8</v>
      </c>
      <c r="C92" s="15">
        <v>32.82</v>
      </c>
      <c r="D92" s="15">
        <v>1407</v>
      </c>
      <c r="E92" s="15">
        <v>226</v>
      </c>
      <c r="F92" s="15">
        <v>38</v>
      </c>
      <c r="G92" s="15">
        <v>38</v>
      </c>
      <c r="H92" s="15">
        <v>20375</v>
      </c>
      <c r="I92" s="15">
        <v>70823</v>
      </c>
      <c r="J92" s="15">
        <v>335.99</v>
      </c>
      <c r="K92" s="15">
        <v>3.01</v>
      </c>
      <c r="L92" s="15">
        <v>3717</v>
      </c>
      <c r="M92" s="15">
        <v>1</v>
      </c>
      <c r="N92" s="15" t="s">
        <v>66</v>
      </c>
      <c r="O92" s="15" t="s">
        <v>50</v>
      </c>
    </row>
    <row r="93" spans="1:15" x14ac:dyDescent="0.25">
      <c r="A93" s="15" t="s">
        <v>161</v>
      </c>
      <c r="B93" s="15">
        <v>182.9</v>
      </c>
      <c r="C93" s="15">
        <v>33.47</v>
      </c>
      <c r="D93" s="15">
        <v>2551</v>
      </c>
      <c r="E93" s="15">
        <v>528</v>
      </c>
      <c r="F93" s="15">
        <v>38</v>
      </c>
      <c r="G93" s="15">
        <v>38</v>
      </c>
      <c r="H93" s="15">
        <v>20534</v>
      </c>
      <c r="I93" s="15">
        <v>71494</v>
      </c>
      <c r="J93" s="15">
        <v>338.82</v>
      </c>
      <c r="K93" s="15">
        <v>2.31</v>
      </c>
      <c r="L93" s="15">
        <v>3756</v>
      </c>
      <c r="M93" s="15">
        <v>1</v>
      </c>
      <c r="N93" s="15" t="s">
        <v>59</v>
      </c>
      <c r="O93" s="15" t="s">
        <v>50</v>
      </c>
    </row>
    <row r="94" spans="1:15" x14ac:dyDescent="0.25">
      <c r="A94" s="15" t="s">
        <v>162</v>
      </c>
      <c r="B94" s="15">
        <v>184.9</v>
      </c>
      <c r="C94" s="15">
        <v>33.34</v>
      </c>
      <c r="D94" s="15">
        <v>1939</v>
      </c>
      <c r="E94" s="15">
        <v>333</v>
      </c>
      <c r="F94" s="15">
        <v>38</v>
      </c>
      <c r="G94" s="15">
        <v>38</v>
      </c>
      <c r="H94" s="15">
        <v>20760</v>
      </c>
      <c r="I94" s="15">
        <v>72252</v>
      </c>
      <c r="J94" s="15">
        <v>342.35</v>
      </c>
      <c r="K94" s="15">
        <v>2.88</v>
      </c>
      <c r="L94" s="15">
        <v>3796</v>
      </c>
      <c r="M94" s="15">
        <v>1</v>
      </c>
      <c r="N94" s="15" t="s">
        <v>95</v>
      </c>
      <c r="O94" s="15" t="s">
        <v>50</v>
      </c>
    </row>
    <row r="95" spans="1:15" x14ac:dyDescent="0.25">
      <c r="A95" s="15" t="s">
        <v>163</v>
      </c>
      <c r="B95" s="15">
        <v>186.9</v>
      </c>
      <c r="C95" s="15">
        <v>33.18</v>
      </c>
      <c r="D95" s="15">
        <v>1955</v>
      </c>
      <c r="E95" s="15">
        <v>322</v>
      </c>
      <c r="F95" s="15">
        <v>38</v>
      </c>
      <c r="G95" s="15">
        <v>38</v>
      </c>
      <c r="H95" s="15">
        <v>20921</v>
      </c>
      <c r="I95" s="15">
        <v>72969</v>
      </c>
      <c r="J95" s="15">
        <v>344.89</v>
      </c>
      <c r="K95" s="15">
        <v>2.09</v>
      </c>
      <c r="L95" s="15">
        <v>3835</v>
      </c>
      <c r="M95" s="15">
        <v>1</v>
      </c>
      <c r="N95" s="15" t="s">
        <v>100</v>
      </c>
      <c r="O95" s="15" t="s">
        <v>50</v>
      </c>
    </row>
    <row r="96" spans="1:15" x14ac:dyDescent="0.25">
      <c r="A96" s="15" t="s">
        <v>164</v>
      </c>
      <c r="B96" s="15">
        <v>189</v>
      </c>
      <c r="C96" s="15">
        <v>33.91</v>
      </c>
      <c r="D96" s="15">
        <v>1464</v>
      </c>
      <c r="E96" s="15">
        <v>236</v>
      </c>
      <c r="F96" s="15">
        <v>38</v>
      </c>
      <c r="G96" s="15">
        <v>38</v>
      </c>
      <c r="H96" s="15">
        <v>21159</v>
      </c>
      <c r="I96" s="15">
        <v>73860</v>
      </c>
      <c r="J96" s="15">
        <v>348.57</v>
      </c>
      <c r="K96" s="15">
        <v>3.01</v>
      </c>
      <c r="L96" s="15">
        <v>3875</v>
      </c>
      <c r="M96" s="15">
        <v>1</v>
      </c>
      <c r="N96" s="15" t="s">
        <v>47</v>
      </c>
      <c r="O96" s="15" t="s">
        <v>50</v>
      </c>
    </row>
    <row r="97" spans="1:15" x14ac:dyDescent="0.25">
      <c r="A97" s="15" t="s">
        <v>165</v>
      </c>
      <c r="B97" s="15">
        <v>191</v>
      </c>
      <c r="C97" s="15">
        <v>33.51</v>
      </c>
      <c r="D97" s="15">
        <v>2149</v>
      </c>
      <c r="E97" s="15">
        <v>332</v>
      </c>
      <c r="F97" s="15">
        <v>38</v>
      </c>
      <c r="G97" s="15">
        <v>38</v>
      </c>
      <c r="H97" s="15">
        <v>21344</v>
      </c>
      <c r="I97" s="15">
        <v>74587</v>
      </c>
      <c r="J97" s="15">
        <v>352.08</v>
      </c>
      <c r="K97" s="15">
        <v>2.87</v>
      </c>
      <c r="L97" s="15">
        <v>3915</v>
      </c>
      <c r="M97" s="15">
        <v>1</v>
      </c>
      <c r="N97" s="15" t="s">
        <v>100</v>
      </c>
      <c r="O97" s="15" t="s">
        <v>50</v>
      </c>
    </row>
    <row r="98" spans="1:15" x14ac:dyDescent="0.25">
      <c r="A98" s="15" t="s">
        <v>166</v>
      </c>
      <c r="B98" s="15">
        <v>193.1</v>
      </c>
      <c r="C98" s="15">
        <v>33.77</v>
      </c>
      <c r="D98" s="15">
        <v>2456</v>
      </c>
      <c r="E98" s="15">
        <v>447</v>
      </c>
      <c r="F98" s="15">
        <v>38</v>
      </c>
      <c r="G98" s="15">
        <v>38</v>
      </c>
      <c r="H98" s="15">
        <v>21492</v>
      </c>
      <c r="I98" s="15">
        <v>75252</v>
      </c>
      <c r="J98" s="15">
        <v>354.42</v>
      </c>
      <c r="K98" s="15">
        <v>1.92</v>
      </c>
      <c r="L98" s="15">
        <v>3954</v>
      </c>
      <c r="M98" s="15">
        <v>1</v>
      </c>
      <c r="N98" s="15" t="s">
        <v>116</v>
      </c>
      <c r="O98" s="15" t="s">
        <v>50</v>
      </c>
    </row>
    <row r="99" spans="1:15" x14ac:dyDescent="0.25">
      <c r="A99" s="15" t="s">
        <v>167</v>
      </c>
      <c r="B99" s="15">
        <v>195.1</v>
      </c>
      <c r="C99" s="15">
        <v>33.99</v>
      </c>
      <c r="D99" s="15">
        <v>2133</v>
      </c>
      <c r="E99" s="15">
        <v>450</v>
      </c>
      <c r="F99" s="15">
        <v>38</v>
      </c>
      <c r="G99" s="15">
        <v>38</v>
      </c>
      <c r="H99" s="15">
        <v>21741</v>
      </c>
      <c r="I99" s="15">
        <v>75951</v>
      </c>
      <c r="J99" s="15">
        <v>358.33</v>
      </c>
      <c r="K99" s="15">
        <v>3.19</v>
      </c>
      <c r="L99" s="15">
        <v>3994</v>
      </c>
      <c r="M99" s="15">
        <v>1</v>
      </c>
      <c r="N99" s="15" t="s">
        <v>56</v>
      </c>
      <c r="O99" s="15" t="s">
        <v>50</v>
      </c>
    </row>
    <row r="100" spans="1:15" x14ac:dyDescent="0.25">
      <c r="A100" s="15" t="s">
        <v>168</v>
      </c>
      <c r="B100" s="15">
        <v>197.1</v>
      </c>
      <c r="C100" s="15">
        <v>33.32</v>
      </c>
      <c r="D100" s="15">
        <v>2286</v>
      </c>
      <c r="E100" s="15">
        <v>381</v>
      </c>
      <c r="F100" s="15">
        <v>38</v>
      </c>
      <c r="G100" s="15">
        <v>38</v>
      </c>
      <c r="H100" s="15">
        <v>21949</v>
      </c>
      <c r="I100" s="15">
        <v>76704</v>
      </c>
      <c r="J100" s="15">
        <v>360.78</v>
      </c>
      <c r="K100" s="15">
        <v>2</v>
      </c>
      <c r="L100" s="15">
        <v>4033</v>
      </c>
      <c r="M100" s="15">
        <v>1</v>
      </c>
      <c r="N100" s="15" t="s">
        <v>54</v>
      </c>
      <c r="O100" s="15" t="s">
        <v>50</v>
      </c>
    </row>
    <row r="101" spans="1:15" x14ac:dyDescent="0.25">
      <c r="A101" s="15" t="s">
        <v>169</v>
      </c>
      <c r="B101" s="15">
        <v>199.2</v>
      </c>
      <c r="C101" s="15">
        <v>33.18</v>
      </c>
      <c r="D101" s="15">
        <v>1926</v>
      </c>
      <c r="E101" s="15">
        <v>330</v>
      </c>
      <c r="F101" s="15">
        <v>38</v>
      </c>
      <c r="G101" s="15">
        <v>38</v>
      </c>
      <c r="H101" s="15">
        <v>22091</v>
      </c>
      <c r="I101" s="15">
        <v>77511</v>
      </c>
      <c r="J101" s="15">
        <v>363.19</v>
      </c>
      <c r="K101" s="15">
        <v>1.98</v>
      </c>
      <c r="L101" s="15">
        <v>4073</v>
      </c>
      <c r="M101" s="15">
        <v>1</v>
      </c>
      <c r="N101" s="15" t="s">
        <v>95</v>
      </c>
      <c r="O101" s="15" t="s">
        <v>50</v>
      </c>
    </row>
    <row r="102" spans="1:15" x14ac:dyDescent="0.25">
      <c r="A102" s="15" t="s">
        <v>170</v>
      </c>
      <c r="B102" s="15">
        <v>201.2</v>
      </c>
      <c r="C102" s="15">
        <v>33.49</v>
      </c>
      <c r="D102" s="15">
        <v>1407</v>
      </c>
      <c r="E102" s="15">
        <v>226</v>
      </c>
      <c r="F102" s="15">
        <v>38</v>
      </c>
      <c r="G102" s="15">
        <v>38</v>
      </c>
      <c r="H102" s="15">
        <v>22409</v>
      </c>
      <c r="I102" s="15">
        <v>78370</v>
      </c>
      <c r="J102" s="15">
        <v>367.54</v>
      </c>
      <c r="K102" s="15">
        <v>3.55</v>
      </c>
      <c r="L102" s="15">
        <v>4113</v>
      </c>
      <c r="M102" s="15">
        <v>1</v>
      </c>
      <c r="N102" s="15" t="s">
        <v>66</v>
      </c>
      <c r="O102" s="15" t="s">
        <v>50</v>
      </c>
    </row>
    <row r="103" spans="1:15" x14ac:dyDescent="0.25">
      <c r="A103" s="15" t="s">
        <v>171</v>
      </c>
      <c r="B103" s="15">
        <v>203.2</v>
      </c>
      <c r="C103" s="15">
        <v>33.32</v>
      </c>
      <c r="D103" s="15">
        <v>2286</v>
      </c>
      <c r="E103" s="15">
        <v>381</v>
      </c>
      <c r="F103" s="15">
        <v>38</v>
      </c>
      <c r="G103" s="15">
        <v>38</v>
      </c>
      <c r="H103" s="15">
        <v>22629</v>
      </c>
      <c r="I103" s="15">
        <v>79139</v>
      </c>
      <c r="J103" s="15">
        <v>370.91</v>
      </c>
      <c r="K103" s="15">
        <v>2.75</v>
      </c>
      <c r="L103" s="15">
        <v>4152</v>
      </c>
      <c r="M103" s="15">
        <v>1</v>
      </c>
      <c r="N103" s="15" t="s">
        <v>54</v>
      </c>
      <c r="O103" s="15" t="s">
        <v>50</v>
      </c>
    </row>
    <row r="104" spans="1:15" x14ac:dyDescent="0.25">
      <c r="A104" s="15" t="s">
        <v>172</v>
      </c>
      <c r="B104" s="15">
        <v>205.3</v>
      </c>
      <c r="C104" s="15">
        <v>32.99</v>
      </c>
      <c r="D104" s="15">
        <v>1368</v>
      </c>
      <c r="E104" s="15">
        <v>184</v>
      </c>
      <c r="F104" s="15">
        <v>38</v>
      </c>
      <c r="G104" s="15">
        <v>38</v>
      </c>
      <c r="H104" s="15">
        <v>22778</v>
      </c>
      <c r="I104" s="15">
        <v>79836</v>
      </c>
      <c r="J104" s="15">
        <v>373.84</v>
      </c>
      <c r="K104" s="15">
        <v>2.42</v>
      </c>
      <c r="L104" s="15">
        <v>4192</v>
      </c>
      <c r="M104" s="15">
        <v>1</v>
      </c>
      <c r="N104" s="15" t="s">
        <v>144</v>
      </c>
      <c r="O104" s="15" t="s">
        <v>50</v>
      </c>
    </row>
    <row r="105" spans="1:15" x14ac:dyDescent="0.25">
      <c r="A105" s="15" t="s">
        <v>173</v>
      </c>
      <c r="B105" s="15">
        <v>207.3</v>
      </c>
      <c r="C105" s="15">
        <v>35.8</v>
      </c>
      <c r="D105" s="15">
        <v>2453</v>
      </c>
      <c r="E105" s="15">
        <v>574</v>
      </c>
      <c r="F105" s="15">
        <v>38</v>
      </c>
      <c r="G105" s="15">
        <v>38</v>
      </c>
      <c r="H105" s="15">
        <v>22968</v>
      </c>
      <c r="I105" s="15">
        <v>80559</v>
      </c>
      <c r="J105" s="15">
        <v>376.77</v>
      </c>
      <c r="K105" s="15">
        <v>2.4</v>
      </c>
      <c r="L105" s="15">
        <v>4232</v>
      </c>
      <c r="M105" s="15">
        <v>1</v>
      </c>
      <c r="N105" s="15" t="s">
        <v>83</v>
      </c>
      <c r="O105" s="15" t="s">
        <v>50</v>
      </c>
    </row>
    <row r="106" spans="1:15" x14ac:dyDescent="0.25">
      <c r="A106" s="15" t="s">
        <v>174</v>
      </c>
      <c r="B106" s="15">
        <v>209.3</v>
      </c>
      <c r="C106" s="15">
        <v>33.61</v>
      </c>
      <c r="D106" s="15">
        <v>1468</v>
      </c>
      <c r="E106" s="15">
        <v>243</v>
      </c>
      <c r="F106" s="15">
        <v>38</v>
      </c>
      <c r="G106" s="15">
        <v>38</v>
      </c>
      <c r="H106" s="15">
        <v>23120</v>
      </c>
      <c r="I106" s="15">
        <v>81232</v>
      </c>
      <c r="J106" s="15">
        <v>380.3</v>
      </c>
      <c r="K106" s="15">
        <v>2.88</v>
      </c>
      <c r="L106" s="15">
        <v>4271</v>
      </c>
      <c r="M106" s="15">
        <v>1</v>
      </c>
      <c r="N106" s="15" t="s">
        <v>47</v>
      </c>
      <c r="O106" s="15" t="s">
        <v>50</v>
      </c>
    </row>
    <row r="107" spans="1:15" x14ac:dyDescent="0.25">
      <c r="A107" s="15" t="s">
        <v>175</v>
      </c>
      <c r="B107" s="15">
        <v>211.4</v>
      </c>
      <c r="C107" s="15">
        <v>33.54</v>
      </c>
      <c r="D107" s="15">
        <v>2107</v>
      </c>
      <c r="E107" s="15">
        <v>262</v>
      </c>
      <c r="F107" s="15">
        <v>38</v>
      </c>
      <c r="G107" s="15">
        <v>38</v>
      </c>
      <c r="H107" s="15">
        <v>23301</v>
      </c>
      <c r="I107" s="15">
        <v>81961</v>
      </c>
      <c r="J107" s="15">
        <v>384.25</v>
      </c>
      <c r="K107" s="15">
        <v>3.25</v>
      </c>
      <c r="L107" s="15">
        <v>4311</v>
      </c>
      <c r="M107" s="15">
        <v>1</v>
      </c>
      <c r="N107" s="15" t="s">
        <v>63</v>
      </c>
      <c r="O107" s="15" t="s">
        <v>50</v>
      </c>
    </row>
    <row r="108" spans="1:15" x14ac:dyDescent="0.25">
      <c r="A108" s="15" t="s">
        <v>176</v>
      </c>
      <c r="B108" s="15">
        <v>213.4</v>
      </c>
      <c r="C108" s="15">
        <v>33.42</v>
      </c>
      <c r="D108" s="15">
        <v>2152</v>
      </c>
      <c r="E108" s="15">
        <v>396</v>
      </c>
      <c r="F108" s="15">
        <v>38</v>
      </c>
      <c r="G108" s="15">
        <v>38</v>
      </c>
      <c r="H108" s="15">
        <v>23552</v>
      </c>
      <c r="I108" s="15">
        <v>82640</v>
      </c>
      <c r="J108" s="15">
        <v>388.52</v>
      </c>
      <c r="K108" s="15">
        <v>3.48</v>
      </c>
      <c r="L108" s="15">
        <v>4350</v>
      </c>
      <c r="M108" s="15">
        <v>1</v>
      </c>
      <c r="N108" s="15" t="s">
        <v>70</v>
      </c>
      <c r="O108" s="15" t="s">
        <v>50</v>
      </c>
    </row>
    <row r="109" spans="1:15" x14ac:dyDescent="0.25">
      <c r="A109" s="15" t="s">
        <v>177</v>
      </c>
      <c r="B109" s="15">
        <v>215.5</v>
      </c>
      <c r="C109" s="15">
        <v>33.58</v>
      </c>
      <c r="D109" s="15">
        <v>2175</v>
      </c>
      <c r="E109" s="15">
        <v>467</v>
      </c>
      <c r="F109" s="15">
        <v>38</v>
      </c>
      <c r="G109" s="15">
        <v>38</v>
      </c>
      <c r="H109" s="15">
        <v>23834</v>
      </c>
      <c r="I109" s="15">
        <v>83634</v>
      </c>
      <c r="J109" s="15">
        <v>393.14</v>
      </c>
      <c r="K109" s="15">
        <v>3.78</v>
      </c>
      <c r="L109" s="15">
        <v>4390</v>
      </c>
      <c r="M109" s="15">
        <v>1</v>
      </c>
      <c r="N109" s="15" t="s">
        <v>56</v>
      </c>
      <c r="O109" s="15" t="s">
        <v>50</v>
      </c>
    </row>
    <row r="110" spans="1:15" x14ac:dyDescent="0.25">
      <c r="A110" s="15" t="s">
        <v>178</v>
      </c>
      <c r="B110" s="15">
        <v>217.5</v>
      </c>
      <c r="C110" s="15">
        <v>33.45</v>
      </c>
      <c r="D110" s="15">
        <v>2005</v>
      </c>
      <c r="E110" s="15">
        <v>420</v>
      </c>
      <c r="F110" s="15">
        <v>38</v>
      </c>
      <c r="G110" s="15">
        <v>38</v>
      </c>
      <c r="H110" s="15">
        <v>24042</v>
      </c>
      <c r="I110" s="15">
        <v>84443</v>
      </c>
      <c r="J110" s="15">
        <v>396.78</v>
      </c>
      <c r="K110" s="15">
        <v>3</v>
      </c>
      <c r="L110" s="15">
        <v>4430</v>
      </c>
      <c r="M110" s="15">
        <v>1</v>
      </c>
      <c r="N110" s="15" t="s">
        <v>61</v>
      </c>
      <c r="O110" s="15" t="s">
        <v>50</v>
      </c>
    </row>
    <row r="111" spans="1:15" x14ac:dyDescent="0.25">
      <c r="A111" s="15" t="s">
        <v>179</v>
      </c>
      <c r="B111" s="15">
        <v>219.5</v>
      </c>
      <c r="C111" s="15">
        <v>33.53</v>
      </c>
      <c r="D111" s="15">
        <v>2110</v>
      </c>
      <c r="E111" s="15">
        <v>322</v>
      </c>
      <c r="F111" s="15">
        <v>38</v>
      </c>
      <c r="G111" s="15">
        <v>38</v>
      </c>
      <c r="H111" s="15">
        <v>24259</v>
      </c>
      <c r="I111" s="15">
        <v>85122</v>
      </c>
      <c r="J111" s="15">
        <v>399.78</v>
      </c>
      <c r="K111" s="15">
        <v>2.45</v>
      </c>
      <c r="L111" s="15">
        <v>4469</v>
      </c>
      <c r="M111" s="15">
        <v>1</v>
      </c>
      <c r="N111" s="15" t="s">
        <v>100</v>
      </c>
      <c r="O111" s="15" t="s">
        <v>50</v>
      </c>
    </row>
    <row r="112" spans="1:15" x14ac:dyDescent="0.25">
      <c r="A112" s="15" t="s">
        <v>180</v>
      </c>
      <c r="B112" s="15">
        <v>221.6</v>
      </c>
      <c r="C112" s="15">
        <v>33.82</v>
      </c>
      <c r="D112" s="15">
        <v>2003</v>
      </c>
      <c r="E112" s="15">
        <v>415</v>
      </c>
      <c r="F112" s="15">
        <v>38</v>
      </c>
      <c r="G112" s="15">
        <v>38</v>
      </c>
      <c r="H112" s="15">
        <v>24515</v>
      </c>
      <c r="I112" s="15">
        <v>85882</v>
      </c>
      <c r="J112" s="15">
        <v>403.49</v>
      </c>
      <c r="K112" s="15">
        <v>3.03</v>
      </c>
      <c r="L112" s="15">
        <v>4509</v>
      </c>
      <c r="M112" s="15">
        <v>1</v>
      </c>
      <c r="N112" s="15" t="s">
        <v>61</v>
      </c>
      <c r="O112" s="15" t="s">
        <v>50</v>
      </c>
    </row>
    <row r="113" spans="1:15" x14ac:dyDescent="0.25">
      <c r="A113" s="15" t="s">
        <v>181</v>
      </c>
      <c r="B113" s="15">
        <v>223.6</v>
      </c>
      <c r="C113" s="15">
        <v>33.48</v>
      </c>
      <c r="D113" s="15">
        <v>2147</v>
      </c>
      <c r="E113" s="15">
        <v>280</v>
      </c>
      <c r="F113" s="15">
        <v>38</v>
      </c>
      <c r="G113" s="15">
        <v>38</v>
      </c>
      <c r="H113" s="15">
        <v>24675</v>
      </c>
      <c r="I113" s="15">
        <v>86588</v>
      </c>
      <c r="J113" s="15">
        <v>406.22</v>
      </c>
      <c r="K113" s="15">
        <v>2.25</v>
      </c>
      <c r="L113" s="15">
        <v>4548</v>
      </c>
      <c r="M113" s="15">
        <v>1</v>
      </c>
      <c r="N113" s="15" t="s">
        <v>63</v>
      </c>
      <c r="O113" s="15" t="s">
        <v>50</v>
      </c>
    </row>
    <row r="114" spans="1:15" x14ac:dyDescent="0.25">
      <c r="A114" s="15" t="s">
        <v>182</v>
      </c>
      <c r="B114" s="15">
        <v>225.6</v>
      </c>
      <c r="C114" s="15">
        <v>33.74</v>
      </c>
      <c r="D114" s="15">
        <v>2175</v>
      </c>
      <c r="E114" s="15">
        <v>467</v>
      </c>
      <c r="F114" s="15">
        <v>38</v>
      </c>
      <c r="G114" s="15">
        <v>38</v>
      </c>
      <c r="H114" s="15">
        <v>24869</v>
      </c>
      <c r="I114" s="15">
        <v>87378</v>
      </c>
      <c r="J114" s="15">
        <v>409.49</v>
      </c>
      <c r="K114" s="15">
        <v>2.67</v>
      </c>
      <c r="L114" s="15">
        <v>4588</v>
      </c>
      <c r="M114" s="15">
        <v>1</v>
      </c>
      <c r="N114" s="15" t="s">
        <v>56</v>
      </c>
      <c r="O114" s="15" t="s">
        <v>50</v>
      </c>
    </row>
    <row r="115" spans="1:15" x14ac:dyDescent="0.25">
      <c r="A115" s="15" t="s">
        <v>183</v>
      </c>
      <c r="B115" s="15">
        <v>227.7</v>
      </c>
      <c r="C115" s="15">
        <v>32.99</v>
      </c>
      <c r="D115" s="15">
        <v>1336</v>
      </c>
      <c r="E115" s="15">
        <v>168</v>
      </c>
      <c r="F115" s="15">
        <v>38</v>
      </c>
      <c r="G115" s="15">
        <v>38</v>
      </c>
      <c r="H115" s="15">
        <v>25054</v>
      </c>
      <c r="I115" s="15">
        <v>88123</v>
      </c>
      <c r="J115" s="15">
        <v>412.41</v>
      </c>
      <c r="K115" s="15">
        <v>2.38</v>
      </c>
      <c r="L115" s="15">
        <v>4627</v>
      </c>
      <c r="M115" s="15">
        <v>1</v>
      </c>
      <c r="N115" s="15" t="s">
        <v>144</v>
      </c>
      <c r="O115" s="15" t="s">
        <v>50</v>
      </c>
    </row>
    <row r="116" spans="1:15" x14ac:dyDescent="0.25">
      <c r="A116" s="15" t="s">
        <v>184</v>
      </c>
      <c r="B116" s="15">
        <v>229.7</v>
      </c>
      <c r="C116" s="15">
        <v>33.18</v>
      </c>
      <c r="D116" s="15">
        <v>1338</v>
      </c>
      <c r="E116" s="15">
        <v>192</v>
      </c>
      <c r="F116" s="15">
        <v>38</v>
      </c>
      <c r="G116" s="15">
        <v>38</v>
      </c>
      <c r="H116" s="15">
        <v>25307</v>
      </c>
      <c r="I116" s="15">
        <v>88916</v>
      </c>
      <c r="J116" s="15">
        <v>415.7</v>
      </c>
      <c r="K116" s="15">
        <v>2.71</v>
      </c>
      <c r="L116" s="15">
        <v>4667</v>
      </c>
      <c r="M116" s="15">
        <v>1</v>
      </c>
      <c r="N116" s="15" t="s">
        <v>109</v>
      </c>
      <c r="O116" s="15" t="s">
        <v>50</v>
      </c>
    </row>
    <row r="117" spans="1:15" x14ac:dyDescent="0.25">
      <c r="A117" s="15" t="s">
        <v>185</v>
      </c>
      <c r="B117" s="15">
        <v>231.7</v>
      </c>
      <c r="C117" s="15">
        <v>33.41</v>
      </c>
      <c r="D117" s="15">
        <v>2111</v>
      </c>
      <c r="E117" s="15">
        <v>322</v>
      </c>
      <c r="F117" s="15">
        <v>38</v>
      </c>
      <c r="G117" s="15">
        <v>38</v>
      </c>
      <c r="H117" s="15">
        <v>25613</v>
      </c>
      <c r="I117" s="15">
        <v>89714</v>
      </c>
      <c r="J117" s="15">
        <v>419.78</v>
      </c>
      <c r="K117" s="15">
        <v>3.33</v>
      </c>
      <c r="L117" s="15">
        <v>4706</v>
      </c>
      <c r="M117" s="15">
        <v>1</v>
      </c>
      <c r="N117" s="15" t="s">
        <v>100</v>
      </c>
      <c r="O117" s="15" t="s">
        <v>50</v>
      </c>
    </row>
    <row r="118" spans="1:15" x14ac:dyDescent="0.25">
      <c r="A118" s="15" t="s">
        <v>186</v>
      </c>
      <c r="B118" s="15">
        <v>233.8</v>
      </c>
      <c r="C118" s="15">
        <v>33.76</v>
      </c>
      <c r="D118" s="15">
        <v>2563</v>
      </c>
      <c r="E118" s="15">
        <v>524</v>
      </c>
      <c r="F118" s="15">
        <v>38</v>
      </c>
      <c r="G118" s="15">
        <v>38</v>
      </c>
      <c r="H118" s="15">
        <v>25795</v>
      </c>
      <c r="I118" s="15">
        <v>90445</v>
      </c>
      <c r="J118" s="15">
        <v>422.26</v>
      </c>
      <c r="K118" s="15">
        <v>2.02</v>
      </c>
      <c r="L118" s="15">
        <v>4746</v>
      </c>
      <c r="M118" s="15">
        <v>1</v>
      </c>
      <c r="N118" s="15" t="s">
        <v>59</v>
      </c>
      <c r="O118" s="15" t="s">
        <v>50</v>
      </c>
    </row>
    <row r="119" spans="1:15" x14ac:dyDescent="0.25">
      <c r="A119" s="15" t="s">
        <v>187</v>
      </c>
      <c r="B119" s="15">
        <v>235.8</v>
      </c>
      <c r="C119" s="15">
        <v>33.77</v>
      </c>
      <c r="D119" s="15">
        <v>2180</v>
      </c>
      <c r="E119" s="15">
        <v>465</v>
      </c>
      <c r="F119" s="15">
        <v>38</v>
      </c>
      <c r="G119" s="15">
        <v>38</v>
      </c>
      <c r="H119" s="15">
        <v>25927</v>
      </c>
      <c r="I119" s="15">
        <v>91213</v>
      </c>
      <c r="J119" s="15">
        <v>425.82</v>
      </c>
      <c r="K119" s="15">
        <v>2.94</v>
      </c>
      <c r="L119" s="15">
        <v>4786</v>
      </c>
      <c r="M119" s="15">
        <v>1</v>
      </c>
      <c r="N119" s="15" t="s">
        <v>56</v>
      </c>
      <c r="O119" s="15" t="s">
        <v>50</v>
      </c>
    </row>
    <row r="120" spans="1:15" x14ac:dyDescent="0.25">
      <c r="A120" s="15" t="s">
        <v>188</v>
      </c>
      <c r="B120" s="15">
        <v>237.8</v>
      </c>
      <c r="C120" s="15">
        <v>33.88</v>
      </c>
      <c r="D120" s="15">
        <v>2046</v>
      </c>
      <c r="E120" s="15">
        <v>427</v>
      </c>
      <c r="F120" s="15">
        <v>38</v>
      </c>
      <c r="G120" s="15">
        <v>38</v>
      </c>
      <c r="H120" s="15">
        <v>26122</v>
      </c>
      <c r="I120" s="15">
        <v>91988</v>
      </c>
      <c r="J120" s="15">
        <v>428.28</v>
      </c>
      <c r="K120" s="15">
        <v>2.01</v>
      </c>
      <c r="L120" s="15">
        <v>4825</v>
      </c>
      <c r="M120" s="15">
        <v>1</v>
      </c>
      <c r="N120" s="15" t="s">
        <v>61</v>
      </c>
      <c r="O120" s="15" t="s">
        <v>50</v>
      </c>
    </row>
    <row r="121" spans="1:15" x14ac:dyDescent="0.25">
      <c r="A121" s="15" t="s">
        <v>189</v>
      </c>
      <c r="B121" s="15">
        <v>239.9</v>
      </c>
      <c r="C121" s="15">
        <v>32.91</v>
      </c>
      <c r="D121" s="15">
        <v>1316</v>
      </c>
      <c r="E121" s="15">
        <v>184</v>
      </c>
      <c r="F121" s="15">
        <v>38</v>
      </c>
      <c r="G121" s="15">
        <v>38</v>
      </c>
      <c r="H121" s="15">
        <v>26385</v>
      </c>
      <c r="I121" s="15">
        <v>92716</v>
      </c>
      <c r="J121" s="15">
        <v>432.97</v>
      </c>
      <c r="K121" s="15">
        <v>3.83</v>
      </c>
      <c r="L121" s="15">
        <v>4865</v>
      </c>
      <c r="M121" s="15">
        <v>1</v>
      </c>
      <c r="N121" s="15" t="s">
        <v>93</v>
      </c>
      <c r="O121" s="15" t="s">
        <v>50</v>
      </c>
    </row>
    <row r="122" spans="1:15" x14ac:dyDescent="0.25">
      <c r="A122" s="15" t="s">
        <v>190</v>
      </c>
      <c r="B122" s="15">
        <v>241.9</v>
      </c>
      <c r="C122" s="15">
        <v>33.75</v>
      </c>
      <c r="D122" s="15">
        <v>1464</v>
      </c>
      <c r="E122" s="15">
        <v>236</v>
      </c>
      <c r="F122" s="15">
        <v>38</v>
      </c>
      <c r="G122" s="15">
        <v>38</v>
      </c>
      <c r="H122" s="15">
        <v>26545</v>
      </c>
      <c r="I122" s="15">
        <v>93436</v>
      </c>
      <c r="J122" s="15">
        <v>435.78</v>
      </c>
      <c r="K122" s="15">
        <v>2.31</v>
      </c>
      <c r="L122" s="15">
        <v>4904</v>
      </c>
      <c r="M122" s="15">
        <v>1</v>
      </c>
      <c r="N122" s="15" t="s">
        <v>47</v>
      </c>
      <c r="O122" s="15" t="s">
        <v>50</v>
      </c>
    </row>
    <row r="123" spans="1:15" x14ac:dyDescent="0.25">
      <c r="A123" s="15" t="s">
        <v>191</v>
      </c>
      <c r="B123" s="15">
        <v>244</v>
      </c>
      <c r="C123" s="15">
        <v>33.43</v>
      </c>
      <c r="D123" s="15">
        <v>2121</v>
      </c>
      <c r="E123" s="15">
        <v>265</v>
      </c>
      <c r="F123" s="15">
        <v>38</v>
      </c>
      <c r="G123" s="15">
        <v>38</v>
      </c>
      <c r="H123" s="15">
        <v>26705</v>
      </c>
      <c r="I123" s="15">
        <v>94024</v>
      </c>
      <c r="J123" s="15">
        <v>444.5</v>
      </c>
      <c r="K123" s="15">
        <v>6.77</v>
      </c>
      <c r="L123" s="15">
        <v>4944</v>
      </c>
      <c r="M123" s="15">
        <v>1</v>
      </c>
      <c r="N123" s="15" t="s">
        <v>63</v>
      </c>
      <c r="O123" s="15" t="s">
        <v>50</v>
      </c>
    </row>
    <row r="124" spans="1:15" x14ac:dyDescent="0.25">
      <c r="A124" s="15" t="s">
        <v>192</v>
      </c>
      <c r="B124" s="15">
        <v>246.1</v>
      </c>
      <c r="C124" s="15">
        <v>33.88</v>
      </c>
      <c r="D124" s="15">
        <v>2085</v>
      </c>
      <c r="E124" s="15">
        <v>441</v>
      </c>
      <c r="F124" s="15">
        <v>38</v>
      </c>
      <c r="G124" s="15">
        <v>38</v>
      </c>
      <c r="H124" s="15">
        <v>26925</v>
      </c>
      <c r="I124" s="15">
        <v>94744</v>
      </c>
      <c r="J124" s="15">
        <v>447.74</v>
      </c>
      <c r="K124" s="15">
        <v>2.67</v>
      </c>
      <c r="L124" s="15">
        <v>4984</v>
      </c>
      <c r="M124" s="15">
        <v>1</v>
      </c>
      <c r="N124" s="15" t="s">
        <v>76</v>
      </c>
      <c r="O124" s="15" t="s">
        <v>50</v>
      </c>
    </row>
    <row r="125" spans="1:15" x14ac:dyDescent="0.25">
      <c r="A125" s="15" t="s">
        <v>193</v>
      </c>
      <c r="B125" s="15">
        <v>248.1</v>
      </c>
      <c r="C125" s="15">
        <v>33.48</v>
      </c>
      <c r="D125" s="15">
        <v>2141</v>
      </c>
      <c r="E125" s="15">
        <v>272</v>
      </c>
      <c r="F125" s="15">
        <v>38</v>
      </c>
      <c r="G125" s="15">
        <v>38</v>
      </c>
      <c r="H125" s="15">
        <v>27044</v>
      </c>
      <c r="I125" s="15">
        <v>95287</v>
      </c>
      <c r="J125" s="15">
        <v>449.64</v>
      </c>
      <c r="K125" s="15">
        <v>1.54</v>
      </c>
      <c r="L125" s="15">
        <v>5023</v>
      </c>
      <c r="M125" s="15">
        <v>1</v>
      </c>
      <c r="N125" s="15" t="s">
        <v>63</v>
      </c>
      <c r="O125" s="15" t="s">
        <v>50</v>
      </c>
    </row>
    <row r="126" spans="1:15" x14ac:dyDescent="0.25">
      <c r="A126" s="15" t="s">
        <v>194</v>
      </c>
      <c r="B126" s="15">
        <v>250.1</v>
      </c>
      <c r="C126" s="15">
        <v>33.83</v>
      </c>
      <c r="D126" s="15">
        <v>2126</v>
      </c>
      <c r="E126" s="15">
        <v>447</v>
      </c>
      <c r="F126" s="15">
        <v>38</v>
      </c>
      <c r="G126" s="15">
        <v>38</v>
      </c>
      <c r="H126" s="15">
        <v>27212</v>
      </c>
      <c r="I126" s="15">
        <v>96062</v>
      </c>
      <c r="J126" s="15">
        <v>452.63</v>
      </c>
      <c r="K126" s="15">
        <v>2.46</v>
      </c>
      <c r="L126" s="15">
        <v>5062</v>
      </c>
      <c r="M126" s="15">
        <v>1</v>
      </c>
      <c r="N126" s="15" t="s">
        <v>56</v>
      </c>
      <c r="O126" s="15" t="s">
        <v>50</v>
      </c>
    </row>
    <row r="127" spans="1:15" x14ac:dyDescent="0.25">
      <c r="A127" s="15" t="s">
        <v>195</v>
      </c>
      <c r="B127" s="15">
        <v>252.2</v>
      </c>
      <c r="C127" s="15">
        <v>33.53</v>
      </c>
      <c r="D127" s="15">
        <v>1370</v>
      </c>
      <c r="E127" s="15">
        <v>213</v>
      </c>
      <c r="F127" s="15">
        <v>38</v>
      </c>
      <c r="G127" s="15">
        <v>38</v>
      </c>
      <c r="H127" s="15">
        <v>27424</v>
      </c>
      <c r="I127" s="15">
        <v>96733</v>
      </c>
      <c r="J127" s="15">
        <v>455.4</v>
      </c>
      <c r="K127" s="15">
        <v>2.28</v>
      </c>
      <c r="L127" s="15">
        <v>5102</v>
      </c>
      <c r="M127" s="15">
        <v>1</v>
      </c>
      <c r="N127" s="15" t="s">
        <v>52</v>
      </c>
      <c r="O127" s="15" t="s">
        <v>50</v>
      </c>
    </row>
    <row r="128" spans="1:15" x14ac:dyDescent="0.25">
      <c r="A128" s="15" t="s">
        <v>196</v>
      </c>
      <c r="B128" s="15">
        <v>254.2</v>
      </c>
      <c r="C128" s="15">
        <v>33.54</v>
      </c>
      <c r="D128" s="15">
        <v>2111</v>
      </c>
      <c r="E128" s="15">
        <v>322</v>
      </c>
      <c r="F128" s="15">
        <v>38</v>
      </c>
      <c r="G128" s="15">
        <v>38</v>
      </c>
      <c r="H128" s="15">
        <v>27532</v>
      </c>
      <c r="I128" s="15">
        <v>97424</v>
      </c>
      <c r="J128" s="15">
        <v>457.29</v>
      </c>
      <c r="K128" s="15">
        <v>1.54</v>
      </c>
      <c r="L128" s="15">
        <v>5141</v>
      </c>
      <c r="M128" s="15">
        <v>1</v>
      </c>
      <c r="N128" s="15" t="s">
        <v>100</v>
      </c>
      <c r="O128" s="15" t="s">
        <v>50</v>
      </c>
    </row>
    <row r="129" spans="1:15" x14ac:dyDescent="0.25">
      <c r="A129" s="15" t="s">
        <v>197</v>
      </c>
      <c r="B129" s="15">
        <v>256.2</v>
      </c>
      <c r="C129" s="15">
        <v>34.23</v>
      </c>
      <c r="D129" s="15">
        <v>2061</v>
      </c>
      <c r="E129" s="15">
        <v>435</v>
      </c>
      <c r="F129" s="15">
        <v>38</v>
      </c>
      <c r="G129" s="15">
        <v>38</v>
      </c>
      <c r="H129" s="15">
        <v>27779</v>
      </c>
      <c r="I129" s="15">
        <v>98249</v>
      </c>
      <c r="J129" s="15">
        <v>460.29</v>
      </c>
      <c r="K129" s="15">
        <v>2.47</v>
      </c>
      <c r="L129" s="15">
        <v>5181</v>
      </c>
      <c r="M129" s="15">
        <v>1</v>
      </c>
      <c r="N129" s="15" t="s">
        <v>61</v>
      </c>
      <c r="O129" s="15" t="s">
        <v>50</v>
      </c>
    </row>
    <row r="130" spans="1:15" x14ac:dyDescent="0.25">
      <c r="A130" s="15" t="s">
        <v>198</v>
      </c>
      <c r="B130" s="15">
        <v>258.3</v>
      </c>
      <c r="C130" s="15">
        <v>33.33</v>
      </c>
      <c r="D130" s="15">
        <v>1635</v>
      </c>
      <c r="E130" s="15">
        <v>246</v>
      </c>
      <c r="F130" s="15">
        <v>38</v>
      </c>
      <c r="G130" s="15">
        <v>38</v>
      </c>
      <c r="H130" s="15">
        <v>27990</v>
      </c>
      <c r="I130" s="15">
        <v>98938</v>
      </c>
      <c r="J130" s="15">
        <v>463.04</v>
      </c>
      <c r="K130" s="15">
        <v>2.25</v>
      </c>
      <c r="L130" s="15">
        <v>5220</v>
      </c>
      <c r="M130" s="15">
        <v>1</v>
      </c>
      <c r="N130" s="15" t="s">
        <v>74</v>
      </c>
      <c r="O130" s="15" t="s">
        <v>50</v>
      </c>
    </row>
    <row r="131" spans="1:15" x14ac:dyDescent="0.25">
      <c r="A131" s="15" t="s">
        <v>199</v>
      </c>
      <c r="B131" s="15">
        <v>260.3</v>
      </c>
      <c r="C131" s="15">
        <v>33.48</v>
      </c>
      <c r="D131" s="15">
        <v>2131</v>
      </c>
      <c r="E131" s="15">
        <v>377</v>
      </c>
      <c r="F131" s="15">
        <v>38</v>
      </c>
      <c r="G131" s="15">
        <v>38</v>
      </c>
      <c r="H131" s="15">
        <v>28114</v>
      </c>
      <c r="I131" s="15">
        <v>99568</v>
      </c>
      <c r="J131" s="15">
        <v>465.22</v>
      </c>
      <c r="K131" s="15">
        <v>1.8</v>
      </c>
      <c r="L131" s="15">
        <v>5259</v>
      </c>
      <c r="M131" s="15">
        <v>1</v>
      </c>
      <c r="N131" s="15" t="s">
        <v>116</v>
      </c>
      <c r="O131" s="15" t="s">
        <v>50</v>
      </c>
    </row>
    <row r="132" spans="1:15" x14ac:dyDescent="0.25">
      <c r="A132" s="15" t="s">
        <v>200</v>
      </c>
      <c r="B132" s="15">
        <v>262.3</v>
      </c>
      <c r="C132" s="15">
        <v>33.43</v>
      </c>
      <c r="D132" s="15">
        <v>1954</v>
      </c>
      <c r="E132" s="15">
        <v>326</v>
      </c>
      <c r="F132" s="15">
        <v>38</v>
      </c>
      <c r="G132" s="15">
        <v>38</v>
      </c>
      <c r="H132" s="15">
        <v>28331</v>
      </c>
      <c r="I132" s="15">
        <v>100391</v>
      </c>
      <c r="J132" s="15">
        <v>468.56</v>
      </c>
      <c r="K132" s="15">
        <v>2.72</v>
      </c>
      <c r="L132" s="15">
        <v>5299</v>
      </c>
      <c r="M132" s="15">
        <v>1</v>
      </c>
      <c r="N132" s="15" t="s">
        <v>100</v>
      </c>
      <c r="O132" s="15" t="s">
        <v>50</v>
      </c>
    </row>
    <row r="133" spans="1:15" x14ac:dyDescent="0.25">
      <c r="A133" s="15" t="s">
        <v>201</v>
      </c>
      <c r="B133" s="15">
        <v>264.4</v>
      </c>
      <c r="C133" s="15">
        <v>33.61</v>
      </c>
      <c r="D133" s="15">
        <v>1897</v>
      </c>
      <c r="E133" s="15">
        <v>392</v>
      </c>
      <c r="F133" s="15">
        <v>38</v>
      </c>
      <c r="G133" s="15">
        <v>38</v>
      </c>
      <c r="H133" s="15">
        <v>28451</v>
      </c>
      <c r="I133" s="15">
        <v>101054</v>
      </c>
      <c r="J133" s="15">
        <v>471</v>
      </c>
      <c r="K133" s="15">
        <v>2.01</v>
      </c>
      <c r="L133" s="15">
        <v>5338</v>
      </c>
      <c r="M133" s="15">
        <v>1</v>
      </c>
      <c r="N133" s="15" t="s">
        <v>56</v>
      </c>
      <c r="O133" s="15" t="s">
        <v>50</v>
      </c>
    </row>
    <row r="134" spans="1:15" x14ac:dyDescent="0.25">
      <c r="A134" s="15" t="s">
        <v>202</v>
      </c>
      <c r="B134" s="15">
        <v>266.4</v>
      </c>
      <c r="C134" s="15">
        <v>33.44</v>
      </c>
      <c r="D134" s="15">
        <v>1926</v>
      </c>
      <c r="E134" s="15">
        <v>330</v>
      </c>
      <c r="F134" s="15">
        <v>38</v>
      </c>
      <c r="G134" s="15">
        <v>38</v>
      </c>
      <c r="H134" s="15">
        <v>28598</v>
      </c>
      <c r="I134" s="15">
        <v>101835</v>
      </c>
      <c r="J134" s="15">
        <v>473.53</v>
      </c>
      <c r="K134" s="15">
        <v>2.08</v>
      </c>
      <c r="L134" s="15">
        <v>5377</v>
      </c>
      <c r="M134" s="15">
        <v>1</v>
      </c>
      <c r="N134" s="15" t="s">
        <v>95</v>
      </c>
      <c r="O134" s="15" t="s">
        <v>50</v>
      </c>
    </row>
    <row r="135" spans="1:15" x14ac:dyDescent="0.25">
      <c r="A135" s="15" t="s">
        <v>203</v>
      </c>
      <c r="B135" s="15">
        <v>268.4</v>
      </c>
      <c r="C135" s="15">
        <v>33.17</v>
      </c>
      <c r="D135" s="15">
        <v>1407</v>
      </c>
      <c r="E135" s="15">
        <v>226</v>
      </c>
      <c r="F135" s="15">
        <v>38</v>
      </c>
      <c r="G135" s="15">
        <v>38</v>
      </c>
      <c r="H135" s="15">
        <v>28828</v>
      </c>
      <c r="I135" s="15">
        <v>102641</v>
      </c>
      <c r="J135" s="15">
        <v>475.66</v>
      </c>
      <c r="K135" s="15">
        <v>1.74</v>
      </c>
      <c r="L135" s="15">
        <v>5417</v>
      </c>
      <c r="M135" s="15">
        <v>1</v>
      </c>
      <c r="N135" s="15" t="s">
        <v>66</v>
      </c>
      <c r="O135" s="15" t="s">
        <v>50</v>
      </c>
    </row>
    <row r="136" spans="1:15" x14ac:dyDescent="0.25">
      <c r="A136" s="15" t="s">
        <v>204</v>
      </c>
      <c r="B136" s="15">
        <v>270.5</v>
      </c>
      <c r="C136" s="15">
        <v>33.48</v>
      </c>
      <c r="D136" s="15">
        <v>2107</v>
      </c>
      <c r="E136" s="15">
        <v>262</v>
      </c>
      <c r="F136" s="15">
        <v>38</v>
      </c>
      <c r="G136" s="15">
        <v>38</v>
      </c>
      <c r="H136" s="15">
        <v>29019</v>
      </c>
      <c r="I136" s="15">
        <v>103380</v>
      </c>
      <c r="J136" s="15">
        <v>478.92</v>
      </c>
      <c r="K136" s="15">
        <v>2.69</v>
      </c>
      <c r="L136" s="15">
        <v>5456</v>
      </c>
      <c r="M136" s="15">
        <v>1</v>
      </c>
      <c r="N136" s="15" t="s">
        <v>63</v>
      </c>
      <c r="O136" s="15" t="s">
        <v>50</v>
      </c>
    </row>
    <row r="137" spans="1:15" x14ac:dyDescent="0.25">
      <c r="A137" s="15" t="s">
        <v>205</v>
      </c>
      <c r="B137" s="15">
        <v>272.5</v>
      </c>
      <c r="C137" s="15">
        <v>33.05</v>
      </c>
      <c r="D137" s="15">
        <v>1308</v>
      </c>
      <c r="E137" s="15">
        <v>177</v>
      </c>
      <c r="F137" s="15">
        <v>38</v>
      </c>
      <c r="G137" s="15">
        <v>38</v>
      </c>
      <c r="H137" s="15">
        <v>29165</v>
      </c>
      <c r="I137" s="15">
        <v>104254</v>
      </c>
      <c r="J137" s="15">
        <v>482.47</v>
      </c>
      <c r="K137" s="15">
        <v>2.9</v>
      </c>
      <c r="L137" s="15">
        <v>5496</v>
      </c>
      <c r="M137" s="15">
        <v>1</v>
      </c>
      <c r="N137" s="15" t="s">
        <v>93</v>
      </c>
      <c r="O137" s="15" t="s">
        <v>50</v>
      </c>
    </row>
    <row r="138" spans="1:15" x14ac:dyDescent="0.25">
      <c r="A138" s="15" t="s">
        <v>206</v>
      </c>
      <c r="B138" s="15">
        <v>274.5</v>
      </c>
      <c r="C138" s="15">
        <v>33.5</v>
      </c>
      <c r="D138" s="15">
        <v>2108</v>
      </c>
      <c r="E138" s="15">
        <v>262</v>
      </c>
      <c r="F138" s="15">
        <v>38</v>
      </c>
      <c r="G138" s="15">
        <v>38</v>
      </c>
      <c r="H138" s="15">
        <v>29378</v>
      </c>
      <c r="I138" s="15">
        <v>105041</v>
      </c>
      <c r="J138" s="15">
        <v>485.96</v>
      </c>
      <c r="K138" s="15">
        <v>2.85</v>
      </c>
      <c r="L138" s="15">
        <v>5535</v>
      </c>
      <c r="M138" s="15">
        <v>1</v>
      </c>
      <c r="N138" s="15" t="s">
        <v>63</v>
      </c>
      <c r="O138" s="15" t="s">
        <v>50</v>
      </c>
    </row>
    <row r="139" spans="1:15" x14ac:dyDescent="0.25">
      <c r="A139" s="15" t="s">
        <v>207</v>
      </c>
      <c r="B139" s="15">
        <v>276.6</v>
      </c>
      <c r="C139" s="15">
        <v>33.75</v>
      </c>
      <c r="D139" s="15">
        <v>2130</v>
      </c>
      <c r="E139" s="15">
        <v>276</v>
      </c>
      <c r="F139" s="15">
        <v>38</v>
      </c>
      <c r="G139" s="15">
        <v>38</v>
      </c>
      <c r="H139" s="15">
        <v>29576</v>
      </c>
      <c r="I139" s="15">
        <v>105793</v>
      </c>
      <c r="J139" s="15">
        <v>489.11</v>
      </c>
      <c r="K139" s="15">
        <v>2.59</v>
      </c>
      <c r="L139" s="15">
        <v>5575</v>
      </c>
      <c r="M139" s="15">
        <v>1</v>
      </c>
      <c r="N139" s="15" t="s">
        <v>63</v>
      </c>
      <c r="O139" s="15" t="s">
        <v>50</v>
      </c>
    </row>
    <row r="140" spans="1:15" x14ac:dyDescent="0.25">
      <c r="A140" s="15" t="s">
        <v>208</v>
      </c>
      <c r="B140" s="15">
        <v>278.6</v>
      </c>
      <c r="C140" s="15">
        <v>33.95</v>
      </c>
      <c r="D140" s="15">
        <v>2160</v>
      </c>
      <c r="E140" s="15">
        <v>285</v>
      </c>
      <c r="F140" s="15">
        <v>38</v>
      </c>
      <c r="G140" s="15">
        <v>38</v>
      </c>
      <c r="H140" s="15">
        <v>29721</v>
      </c>
      <c r="I140" s="15">
        <v>106453</v>
      </c>
      <c r="J140" s="15">
        <v>491.61</v>
      </c>
      <c r="K140" s="15">
        <v>2.04</v>
      </c>
      <c r="L140" s="15">
        <v>5615</v>
      </c>
      <c r="M140" s="15">
        <v>1</v>
      </c>
      <c r="N140" s="15" t="s">
        <v>63</v>
      </c>
      <c r="O140" s="15" t="s">
        <v>50</v>
      </c>
    </row>
    <row r="141" spans="1:15" x14ac:dyDescent="0.25">
      <c r="A141" s="15" t="s">
        <v>209</v>
      </c>
      <c r="B141" s="15">
        <v>280.6</v>
      </c>
      <c r="C141" s="15">
        <v>33.68</v>
      </c>
      <c r="D141" s="15">
        <v>1468</v>
      </c>
      <c r="E141" s="15">
        <v>243</v>
      </c>
      <c r="F141" s="15">
        <v>38</v>
      </c>
      <c r="G141" s="15">
        <v>38</v>
      </c>
      <c r="H141" s="15">
        <v>29922</v>
      </c>
      <c r="I141" s="15">
        <v>107064</v>
      </c>
      <c r="J141" s="15">
        <v>495.03</v>
      </c>
      <c r="K141" s="15">
        <v>2.81</v>
      </c>
      <c r="L141" s="15">
        <v>5654</v>
      </c>
      <c r="M141" s="15">
        <v>1</v>
      </c>
      <c r="N141" s="15" t="s">
        <v>47</v>
      </c>
      <c r="O141" s="15" t="s">
        <v>50</v>
      </c>
    </row>
    <row r="142" spans="1:15" x14ac:dyDescent="0.25">
      <c r="A142" s="15" t="s">
        <v>210</v>
      </c>
      <c r="B142" s="15">
        <v>282.7</v>
      </c>
      <c r="C142" s="15">
        <v>32.97</v>
      </c>
      <c r="D142" s="15">
        <v>1434</v>
      </c>
      <c r="E142" s="15">
        <v>194</v>
      </c>
      <c r="F142" s="15">
        <v>38</v>
      </c>
      <c r="G142" s="15">
        <v>38</v>
      </c>
      <c r="H142" s="15">
        <v>30132</v>
      </c>
      <c r="I142" s="15">
        <v>107815</v>
      </c>
      <c r="J142" s="15">
        <v>499.03</v>
      </c>
      <c r="K142" s="15">
        <v>3.29</v>
      </c>
      <c r="L142" s="15">
        <v>5694</v>
      </c>
      <c r="M142" s="15">
        <v>1</v>
      </c>
      <c r="N142" s="15" t="s">
        <v>211</v>
      </c>
      <c r="O142" s="15" t="s">
        <v>50</v>
      </c>
    </row>
    <row r="143" spans="1:15" x14ac:dyDescent="0.25">
      <c r="A143" s="15" t="s">
        <v>212</v>
      </c>
      <c r="B143" s="15">
        <v>284.7</v>
      </c>
      <c r="C143" s="15">
        <v>33.69</v>
      </c>
      <c r="D143" s="15">
        <v>1464</v>
      </c>
      <c r="E143" s="15">
        <v>236</v>
      </c>
      <c r="F143" s="15">
        <v>38</v>
      </c>
      <c r="G143" s="15">
        <v>38</v>
      </c>
      <c r="H143" s="15">
        <v>30377</v>
      </c>
      <c r="I143" s="15">
        <v>108548</v>
      </c>
      <c r="J143" s="15">
        <v>503.09</v>
      </c>
      <c r="K143" s="15">
        <v>3.33</v>
      </c>
      <c r="L143" s="15">
        <v>5734</v>
      </c>
      <c r="M143" s="15">
        <v>1</v>
      </c>
      <c r="N143" s="15" t="s">
        <v>47</v>
      </c>
      <c r="O143" s="15" t="s">
        <v>50</v>
      </c>
    </row>
    <row r="144" spans="1:15" x14ac:dyDescent="0.25">
      <c r="A144" s="15" t="s">
        <v>213</v>
      </c>
      <c r="B144" s="15">
        <v>286.7</v>
      </c>
      <c r="C144" s="15">
        <v>33.43</v>
      </c>
      <c r="D144" s="15">
        <v>2121</v>
      </c>
      <c r="E144" s="15">
        <v>265</v>
      </c>
      <c r="F144" s="15">
        <v>38</v>
      </c>
      <c r="G144" s="15">
        <v>38</v>
      </c>
      <c r="H144" s="15">
        <v>30468</v>
      </c>
      <c r="I144" s="15">
        <v>109190</v>
      </c>
      <c r="J144" s="15">
        <v>505.61</v>
      </c>
      <c r="K144" s="15">
        <v>2.07</v>
      </c>
      <c r="L144" s="15">
        <v>5774</v>
      </c>
      <c r="M144" s="15">
        <v>1</v>
      </c>
      <c r="N144" s="15" t="s">
        <v>63</v>
      </c>
      <c r="O144" s="15" t="s">
        <v>50</v>
      </c>
    </row>
    <row r="145" spans="1:15" x14ac:dyDescent="0.25">
      <c r="A145" s="15" t="s">
        <v>214</v>
      </c>
      <c r="B145" s="15">
        <v>288.8</v>
      </c>
      <c r="C145" s="15">
        <v>33.51</v>
      </c>
      <c r="D145" s="15">
        <v>2112</v>
      </c>
      <c r="E145" s="15">
        <v>322</v>
      </c>
      <c r="F145" s="15">
        <v>38</v>
      </c>
      <c r="G145" s="15">
        <v>38</v>
      </c>
      <c r="H145" s="15">
        <v>30649</v>
      </c>
      <c r="I145" s="15">
        <v>109838</v>
      </c>
      <c r="J145" s="15">
        <v>508.44</v>
      </c>
      <c r="K145" s="15">
        <v>2.32</v>
      </c>
      <c r="L145" s="15">
        <v>5814</v>
      </c>
      <c r="M145" s="15">
        <v>1</v>
      </c>
      <c r="N145" s="15" t="s">
        <v>100</v>
      </c>
      <c r="O145" s="15" t="s">
        <v>50</v>
      </c>
    </row>
    <row r="146" spans="1:15" x14ac:dyDescent="0.25">
      <c r="A146" s="15" t="s">
        <v>215</v>
      </c>
      <c r="B146" s="15">
        <v>290.8</v>
      </c>
      <c r="C146" s="15">
        <v>32.97</v>
      </c>
      <c r="D146" s="15">
        <v>1316</v>
      </c>
      <c r="E146" s="15">
        <v>178</v>
      </c>
      <c r="F146" s="15">
        <v>38</v>
      </c>
      <c r="G146" s="15">
        <v>38</v>
      </c>
      <c r="H146" s="15">
        <v>30867</v>
      </c>
      <c r="I146" s="15">
        <v>110633</v>
      </c>
      <c r="J146" s="15">
        <v>511.82</v>
      </c>
      <c r="K146" s="15">
        <v>2.77</v>
      </c>
      <c r="L146" s="15">
        <v>5854</v>
      </c>
      <c r="M146" s="15">
        <v>1</v>
      </c>
      <c r="N146" s="15" t="s">
        <v>109</v>
      </c>
      <c r="O146" s="15" t="s">
        <v>50</v>
      </c>
    </row>
    <row r="147" spans="1:15" x14ac:dyDescent="0.25">
      <c r="A147" s="15" t="s">
        <v>216</v>
      </c>
      <c r="B147" s="15">
        <v>292.8</v>
      </c>
      <c r="C147" s="15">
        <v>33.96</v>
      </c>
      <c r="D147" s="15">
        <v>1468</v>
      </c>
      <c r="E147" s="15">
        <v>236</v>
      </c>
      <c r="F147" s="15">
        <v>38</v>
      </c>
      <c r="G147" s="15">
        <v>38</v>
      </c>
      <c r="H147" s="15">
        <v>31008</v>
      </c>
      <c r="I147" s="15">
        <v>111233</v>
      </c>
      <c r="J147" s="15">
        <v>514.46</v>
      </c>
      <c r="K147" s="15">
        <v>2.17</v>
      </c>
      <c r="L147" s="15">
        <v>5894</v>
      </c>
      <c r="M147" s="15">
        <v>1</v>
      </c>
      <c r="N147" s="15" t="s">
        <v>47</v>
      </c>
      <c r="O147" s="15" t="s">
        <v>50</v>
      </c>
    </row>
    <row r="148" spans="1:15" x14ac:dyDescent="0.25">
      <c r="A148" s="15" t="s">
        <v>217</v>
      </c>
      <c r="B148" s="15">
        <v>294.8</v>
      </c>
      <c r="C148" s="15">
        <v>33.15</v>
      </c>
      <c r="D148" s="15">
        <v>1380</v>
      </c>
      <c r="E148" s="15">
        <v>189</v>
      </c>
      <c r="F148" s="15">
        <v>38</v>
      </c>
      <c r="G148" s="15">
        <v>38</v>
      </c>
      <c r="H148" s="15">
        <v>31297</v>
      </c>
      <c r="I148" s="15">
        <v>112143</v>
      </c>
      <c r="J148" s="15">
        <v>519.21</v>
      </c>
      <c r="K148" s="15">
        <v>3.91</v>
      </c>
      <c r="L148" s="15">
        <v>5934</v>
      </c>
      <c r="M148" s="15">
        <v>1</v>
      </c>
      <c r="N148" s="15" t="s">
        <v>144</v>
      </c>
      <c r="O148" s="15" t="s">
        <v>50</v>
      </c>
    </row>
    <row r="149" spans="1:15" x14ac:dyDescent="0.25">
      <c r="A149" s="15" t="s">
        <v>218</v>
      </c>
      <c r="B149" s="15">
        <v>296.9</v>
      </c>
      <c r="C149" s="15">
        <v>34.05</v>
      </c>
      <c r="D149" s="15">
        <v>2300</v>
      </c>
      <c r="E149" s="15">
        <v>381</v>
      </c>
      <c r="F149" s="15">
        <v>38</v>
      </c>
      <c r="G149" s="15">
        <v>38</v>
      </c>
      <c r="H149" s="15">
        <v>31515</v>
      </c>
      <c r="I149" s="15">
        <v>112845</v>
      </c>
      <c r="J149" s="15">
        <v>522.28</v>
      </c>
      <c r="K149" s="15">
        <v>2.51</v>
      </c>
      <c r="L149" s="15">
        <v>5974</v>
      </c>
      <c r="M149" s="15">
        <v>1</v>
      </c>
      <c r="N149" s="15" t="s">
        <v>54</v>
      </c>
      <c r="O149" s="15" t="s">
        <v>50</v>
      </c>
    </row>
    <row r="150" spans="1:15" x14ac:dyDescent="0.25">
      <c r="A150" s="15" t="s">
        <v>219</v>
      </c>
      <c r="B150" s="15">
        <v>298.9</v>
      </c>
      <c r="C150" s="15">
        <v>33.59</v>
      </c>
      <c r="D150" s="15">
        <v>2131</v>
      </c>
      <c r="E150" s="15">
        <v>276</v>
      </c>
      <c r="F150" s="15">
        <v>38</v>
      </c>
      <c r="G150" s="15">
        <v>38</v>
      </c>
      <c r="H150" s="15">
        <v>31660</v>
      </c>
      <c r="I150" s="15">
        <v>113681</v>
      </c>
      <c r="J150" s="15">
        <v>524.96</v>
      </c>
      <c r="K150" s="15">
        <v>2.21</v>
      </c>
      <c r="L150" s="15">
        <v>6013</v>
      </c>
      <c r="M150" s="15">
        <v>1</v>
      </c>
      <c r="N150" s="15" t="s">
        <v>63</v>
      </c>
      <c r="O150" s="15" t="s">
        <v>50</v>
      </c>
    </row>
    <row r="151" spans="1:15" x14ac:dyDescent="0.25">
      <c r="A151" s="15" t="s">
        <v>220</v>
      </c>
      <c r="B151" s="15">
        <v>300.9</v>
      </c>
      <c r="C151" s="15">
        <v>33.69</v>
      </c>
      <c r="D151" s="15">
        <v>2112</v>
      </c>
      <c r="E151" s="15">
        <v>391</v>
      </c>
      <c r="F151" s="15">
        <v>38</v>
      </c>
      <c r="G151" s="15">
        <v>38</v>
      </c>
      <c r="H151" s="15">
        <v>31832</v>
      </c>
      <c r="I151" s="15">
        <v>114354</v>
      </c>
      <c r="J151" s="15">
        <v>527.92</v>
      </c>
      <c r="K151" s="15">
        <v>2.43</v>
      </c>
      <c r="L151" s="15">
        <v>6053</v>
      </c>
      <c r="M151" s="15">
        <v>1</v>
      </c>
      <c r="N151" s="15" t="s">
        <v>88</v>
      </c>
      <c r="O151" s="15" t="s">
        <v>50</v>
      </c>
    </row>
    <row r="152" spans="1:15" x14ac:dyDescent="0.25">
      <c r="A152" s="15" t="s">
        <v>221</v>
      </c>
      <c r="B152" s="15">
        <v>303</v>
      </c>
      <c r="C152" s="15">
        <v>33.99</v>
      </c>
      <c r="D152" s="15">
        <v>2529</v>
      </c>
      <c r="E152" s="15">
        <v>514</v>
      </c>
      <c r="F152" s="15">
        <v>38</v>
      </c>
      <c r="G152" s="15">
        <v>38</v>
      </c>
      <c r="H152" s="15">
        <v>32082</v>
      </c>
      <c r="I152" s="15">
        <v>115109</v>
      </c>
      <c r="J152" s="15">
        <v>531.86</v>
      </c>
      <c r="K152" s="15">
        <v>3.23</v>
      </c>
      <c r="L152" s="15">
        <v>6093</v>
      </c>
      <c r="M152" s="15">
        <v>1</v>
      </c>
      <c r="N152" s="15" t="s">
        <v>59</v>
      </c>
      <c r="O152" s="15" t="s">
        <v>50</v>
      </c>
    </row>
    <row r="153" spans="1:15" x14ac:dyDescent="0.25">
      <c r="A153" s="15" t="s">
        <v>222</v>
      </c>
      <c r="B153" s="15">
        <v>305</v>
      </c>
      <c r="C153" s="15">
        <v>33.83</v>
      </c>
      <c r="D153" s="15">
        <v>1498</v>
      </c>
      <c r="E153" s="15">
        <v>246</v>
      </c>
      <c r="F153" s="15">
        <v>38</v>
      </c>
      <c r="G153" s="15">
        <v>38</v>
      </c>
      <c r="H153" s="15">
        <v>32288</v>
      </c>
      <c r="I153" s="15">
        <v>115815</v>
      </c>
      <c r="J153" s="15">
        <v>535.12</v>
      </c>
      <c r="K153" s="15">
        <v>2.68</v>
      </c>
      <c r="L153" s="15">
        <v>6133</v>
      </c>
      <c r="M153" s="15">
        <v>1</v>
      </c>
      <c r="N153" s="15" t="s">
        <v>47</v>
      </c>
      <c r="O153" s="15" t="s">
        <v>50</v>
      </c>
    </row>
    <row r="154" spans="1:15" x14ac:dyDescent="0.25">
      <c r="A154" s="15" t="s">
        <v>223</v>
      </c>
      <c r="B154" s="15">
        <v>307</v>
      </c>
      <c r="C154" s="15">
        <v>33</v>
      </c>
      <c r="D154" s="15">
        <v>1308</v>
      </c>
      <c r="E154" s="15">
        <v>177</v>
      </c>
      <c r="F154" s="15">
        <v>38</v>
      </c>
      <c r="G154" s="15">
        <v>38</v>
      </c>
      <c r="H154" s="15">
        <v>32424</v>
      </c>
      <c r="I154" s="15">
        <v>116516</v>
      </c>
      <c r="J154" s="15">
        <v>537.85</v>
      </c>
      <c r="K154" s="15">
        <v>2.23</v>
      </c>
      <c r="L154" s="15">
        <v>6173</v>
      </c>
      <c r="M154" s="15">
        <v>1</v>
      </c>
      <c r="N154" s="15" t="s">
        <v>93</v>
      </c>
      <c r="O154" s="15" t="s">
        <v>50</v>
      </c>
    </row>
    <row r="155" spans="1:15" x14ac:dyDescent="0.25">
      <c r="A155" s="15" t="s">
        <v>224</v>
      </c>
      <c r="B155" s="15">
        <v>309.1</v>
      </c>
      <c r="C155" s="15">
        <v>33.67</v>
      </c>
      <c r="D155" s="15">
        <v>2129</v>
      </c>
      <c r="E155" s="15">
        <v>276</v>
      </c>
      <c r="F155" s="15">
        <v>38</v>
      </c>
      <c r="G155" s="15">
        <v>38</v>
      </c>
      <c r="H155" s="15">
        <v>32664</v>
      </c>
      <c r="I155" s="15">
        <v>117224</v>
      </c>
      <c r="J155" s="15">
        <v>540.97</v>
      </c>
      <c r="K155" s="15">
        <v>2.57</v>
      </c>
      <c r="L155" s="15">
        <v>6213</v>
      </c>
      <c r="M155" s="15">
        <v>1</v>
      </c>
      <c r="N155" s="15" t="s">
        <v>63</v>
      </c>
      <c r="O155" s="15" t="s">
        <v>50</v>
      </c>
    </row>
    <row r="156" spans="1:15" x14ac:dyDescent="0.25">
      <c r="A156" s="15" t="s">
        <v>225</v>
      </c>
      <c r="B156" s="15">
        <v>311.1</v>
      </c>
      <c r="C156" s="15">
        <v>33.44</v>
      </c>
      <c r="D156" s="15">
        <v>2108</v>
      </c>
      <c r="E156" s="15">
        <v>262</v>
      </c>
      <c r="F156" s="15">
        <v>38</v>
      </c>
      <c r="G156" s="15">
        <v>38</v>
      </c>
      <c r="H156" s="15">
        <v>32907</v>
      </c>
      <c r="I156" s="15">
        <v>118042</v>
      </c>
      <c r="J156" s="15">
        <v>545.46</v>
      </c>
      <c r="K156" s="15">
        <v>3.69</v>
      </c>
      <c r="L156" s="15">
        <v>6253</v>
      </c>
      <c r="M156" s="15">
        <v>1</v>
      </c>
      <c r="N156" s="15" t="s">
        <v>63</v>
      </c>
      <c r="O156" s="15" t="s">
        <v>50</v>
      </c>
    </row>
    <row r="157" spans="1:15" x14ac:dyDescent="0.25">
      <c r="A157" s="15" t="s">
        <v>226</v>
      </c>
      <c r="B157" s="15">
        <v>313.1</v>
      </c>
      <c r="C157" s="15">
        <v>33.58</v>
      </c>
      <c r="D157" s="15">
        <v>2144</v>
      </c>
      <c r="E157" s="15">
        <v>342</v>
      </c>
      <c r="F157" s="15">
        <v>38</v>
      </c>
      <c r="G157" s="15">
        <v>38</v>
      </c>
      <c r="H157" s="15">
        <v>33086</v>
      </c>
      <c r="I157" s="15">
        <v>118763</v>
      </c>
      <c r="J157" s="15">
        <v>548.43</v>
      </c>
      <c r="K157" s="15">
        <v>2.43</v>
      </c>
      <c r="L157" s="15">
        <v>6293</v>
      </c>
      <c r="M157" s="15">
        <v>1</v>
      </c>
      <c r="N157" s="15" t="s">
        <v>100</v>
      </c>
      <c r="O157" s="15" t="s">
        <v>50</v>
      </c>
    </row>
    <row r="158" spans="1:15" x14ac:dyDescent="0.25">
      <c r="A158" s="15" t="s">
        <v>227</v>
      </c>
      <c r="B158" s="15">
        <v>315.2</v>
      </c>
      <c r="C158" s="15">
        <v>33.1</v>
      </c>
      <c r="D158" s="15">
        <v>1349</v>
      </c>
      <c r="E158" s="15">
        <v>195</v>
      </c>
      <c r="F158" s="15">
        <v>38</v>
      </c>
      <c r="G158" s="15">
        <v>38</v>
      </c>
      <c r="H158" s="15">
        <v>33322</v>
      </c>
      <c r="I158" s="15">
        <v>119542</v>
      </c>
      <c r="J158" s="15">
        <v>551.99</v>
      </c>
      <c r="K158" s="15">
        <v>2.92</v>
      </c>
      <c r="L158" s="15">
        <v>6333</v>
      </c>
      <c r="M158" s="15">
        <v>1</v>
      </c>
      <c r="N158" s="15" t="s">
        <v>93</v>
      </c>
      <c r="O158" s="15" t="s">
        <v>50</v>
      </c>
    </row>
    <row r="159" spans="1:15" x14ac:dyDescent="0.25">
      <c r="A159" s="15" t="s">
        <v>228</v>
      </c>
      <c r="B159" s="15">
        <v>317.2</v>
      </c>
      <c r="C159" s="15">
        <v>33.82</v>
      </c>
      <c r="D159" s="15">
        <v>2127</v>
      </c>
      <c r="E159" s="15">
        <v>279</v>
      </c>
      <c r="F159" s="15">
        <v>38</v>
      </c>
      <c r="G159" s="15">
        <v>38</v>
      </c>
      <c r="H159" s="15">
        <v>33619</v>
      </c>
      <c r="I159" s="15">
        <v>120303</v>
      </c>
      <c r="J159" s="15">
        <v>555.73</v>
      </c>
      <c r="K159" s="15">
        <v>3.08</v>
      </c>
      <c r="L159" s="15">
        <v>6373</v>
      </c>
      <c r="M159" s="15">
        <v>1</v>
      </c>
      <c r="N159" s="15" t="s">
        <v>63</v>
      </c>
      <c r="O159" s="15" t="s">
        <v>50</v>
      </c>
    </row>
    <row r="160" spans="1:15" x14ac:dyDescent="0.25">
      <c r="A160" s="15" t="s">
        <v>229</v>
      </c>
      <c r="B160" s="15">
        <v>319.2</v>
      </c>
      <c r="C160" s="15">
        <v>34.96</v>
      </c>
      <c r="D160" s="15">
        <v>1616</v>
      </c>
      <c r="E160" s="15">
        <v>280</v>
      </c>
      <c r="F160" s="15">
        <v>38</v>
      </c>
      <c r="G160" s="15">
        <v>38</v>
      </c>
      <c r="H160" s="15">
        <v>33942</v>
      </c>
      <c r="I160" s="15">
        <v>121143</v>
      </c>
      <c r="J160" s="15">
        <v>560.14</v>
      </c>
      <c r="K160" s="15">
        <v>3.61</v>
      </c>
      <c r="L160" s="15">
        <v>6413</v>
      </c>
      <c r="M160" s="15">
        <v>1</v>
      </c>
      <c r="N160" s="15" t="s">
        <v>47</v>
      </c>
      <c r="O160" s="15" t="s">
        <v>50</v>
      </c>
    </row>
    <row r="161" spans="1:15" x14ac:dyDescent="0.25">
      <c r="A161" s="15" t="s">
        <v>230</v>
      </c>
      <c r="B161" s="15">
        <v>321.2</v>
      </c>
      <c r="C161" s="15">
        <v>33.47</v>
      </c>
      <c r="D161" s="15">
        <v>1369</v>
      </c>
      <c r="E161" s="15">
        <v>196</v>
      </c>
      <c r="F161" s="15">
        <v>38</v>
      </c>
      <c r="G161" s="15">
        <v>38</v>
      </c>
      <c r="H161" s="15">
        <v>34209</v>
      </c>
      <c r="I161" s="15">
        <v>122034</v>
      </c>
      <c r="J161" s="15">
        <v>564.27</v>
      </c>
      <c r="K161" s="15">
        <v>3.38</v>
      </c>
      <c r="L161" s="15">
        <v>6453</v>
      </c>
      <c r="M161" s="15">
        <v>1</v>
      </c>
      <c r="N161" s="15" t="s">
        <v>109</v>
      </c>
      <c r="O161" s="15" t="s">
        <v>50</v>
      </c>
    </row>
    <row r="162" spans="1:15" x14ac:dyDescent="0.25">
      <c r="A162" s="15" t="s">
        <v>231</v>
      </c>
      <c r="B162" s="15">
        <v>323.3</v>
      </c>
      <c r="C162" s="15">
        <v>34.76</v>
      </c>
      <c r="D162" s="15">
        <v>3023</v>
      </c>
      <c r="E162" s="15">
        <v>861</v>
      </c>
      <c r="F162" s="15">
        <v>38</v>
      </c>
      <c r="G162" s="15">
        <v>38</v>
      </c>
      <c r="H162" s="15">
        <v>34414</v>
      </c>
      <c r="I162" s="15">
        <v>122843</v>
      </c>
      <c r="J162" s="15">
        <v>567.61</v>
      </c>
      <c r="K162" s="15">
        <v>2.75</v>
      </c>
      <c r="L162" s="15">
        <v>6493</v>
      </c>
      <c r="M162" s="15">
        <v>1</v>
      </c>
      <c r="N162" s="15" t="s">
        <v>54</v>
      </c>
      <c r="O162" s="15" t="s">
        <v>50</v>
      </c>
    </row>
    <row r="163" spans="1:15" x14ac:dyDescent="0.25">
      <c r="A163" s="15" t="s">
        <v>232</v>
      </c>
      <c r="B163" s="15">
        <v>325.3</v>
      </c>
      <c r="C163" s="15">
        <v>35.65</v>
      </c>
      <c r="D163" s="15">
        <v>2408</v>
      </c>
      <c r="E163" s="15">
        <v>448</v>
      </c>
      <c r="F163" s="15">
        <v>38</v>
      </c>
      <c r="G163" s="15">
        <v>38</v>
      </c>
      <c r="H163" s="15">
        <v>34667</v>
      </c>
      <c r="I163" s="15">
        <v>123606</v>
      </c>
      <c r="J163" s="15">
        <v>571.06</v>
      </c>
      <c r="K163" s="15">
        <v>2.83</v>
      </c>
      <c r="L163" s="15">
        <v>6533</v>
      </c>
      <c r="M163" s="15">
        <v>1</v>
      </c>
      <c r="N163" s="15" t="s">
        <v>47</v>
      </c>
      <c r="O163" s="15" t="s">
        <v>50</v>
      </c>
    </row>
    <row r="164" spans="1:15" x14ac:dyDescent="0.25">
      <c r="A164" s="15" t="s">
        <v>233</v>
      </c>
      <c r="B164" s="15">
        <v>327.3</v>
      </c>
      <c r="C164" s="15">
        <v>34.04</v>
      </c>
      <c r="D164" s="15">
        <v>1471</v>
      </c>
      <c r="E164" s="15">
        <v>252</v>
      </c>
      <c r="F164" s="15">
        <v>38</v>
      </c>
      <c r="G164" s="15">
        <v>38</v>
      </c>
      <c r="H164" s="15">
        <v>35010</v>
      </c>
      <c r="I164" s="15">
        <v>124523</v>
      </c>
      <c r="J164" s="15">
        <v>575.91</v>
      </c>
      <c r="K164" s="15">
        <v>3.98</v>
      </c>
      <c r="L164" s="15">
        <v>6573</v>
      </c>
      <c r="M164" s="15">
        <v>1</v>
      </c>
      <c r="N164" s="15" t="s">
        <v>47</v>
      </c>
      <c r="O164" s="15" t="s">
        <v>50</v>
      </c>
    </row>
    <row r="165" spans="1:15" x14ac:dyDescent="0.25">
      <c r="A165" s="15" t="s">
        <v>234</v>
      </c>
      <c r="B165" s="15">
        <v>329.4</v>
      </c>
      <c r="C165" s="15">
        <v>33.98</v>
      </c>
      <c r="D165" s="15">
        <v>2279</v>
      </c>
      <c r="E165" s="15">
        <v>379</v>
      </c>
      <c r="F165" s="15">
        <v>38</v>
      </c>
      <c r="G165" s="15">
        <v>38</v>
      </c>
      <c r="H165" s="15">
        <v>35214</v>
      </c>
      <c r="I165" s="15">
        <v>125438</v>
      </c>
      <c r="J165" s="15">
        <v>579.78</v>
      </c>
      <c r="K165" s="15">
        <v>3.19</v>
      </c>
      <c r="L165" s="15">
        <v>6613</v>
      </c>
      <c r="M165" s="15">
        <v>1</v>
      </c>
      <c r="N165" s="15" t="s">
        <v>54</v>
      </c>
      <c r="O165" s="15" t="s">
        <v>50</v>
      </c>
    </row>
    <row r="166" spans="1:15" x14ac:dyDescent="0.25">
      <c r="A166" s="15" t="s">
        <v>235</v>
      </c>
      <c r="B166" s="15">
        <v>331.4</v>
      </c>
      <c r="C166" s="15">
        <v>33.96</v>
      </c>
      <c r="D166" s="15">
        <v>2114</v>
      </c>
      <c r="E166" s="15">
        <v>411</v>
      </c>
      <c r="F166" s="15">
        <v>38</v>
      </c>
      <c r="G166" s="15">
        <v>38</v>
      </c>
      <c r="H166" s="15">
        <v>35469</v>
      </c>
      <c r="I166" s="15">
        <v>126194</v>
      </c>
      <c r="J166" s="15">
        <v>583.9</v>
      </c>
      <c r="K166" s="15">
        <v>3.37</v>
      </c>
      <c r="L166" s="15">
        <v>6653</v>
      </c>
      <c r="M166" s="15">
        <v>1</v>
      </c>
      <c r="N166" s="15" t="s">
        <v>83</v>
      </c>
      <c r="O166" s="15" t="s">
        <v>50</v>
      </c>
    </row>
    <row r="167" spans="1:15" x14ac:dyDescent="0.25">
      <c r="A167" s="15" t="s">
        <v>236</v>
      </c>
      <c r="B167" s="15">
        <v>333.4</v>
      </c>
      <c r="C167" s="15">
        <v>33.93</v>
      </c>
      <c r="D167" s="15">
        <v>2089</v>
      </c>
      <c r="E167" s="15">
        <v>384</v>
      </c>
      <c r="F167" s="15">
        <v>38</v>
      </c>
      <c r="G167" s="15">
        <v>38</v>
      </c>
      <c r="H167" s="15">
        <v>35715</v>
      </c>
      <c r="I167" s="15">
        <v>127026</v>
      </c>
      <c r="J167" s="15">
        <v>587.12</v>
      </c>
      <c r="K167" s="15">
        <v>2.65</v>
      </c>
      <c r="L167" s="15">
        <v>6693</v>
      </c>
      <c r="M167" s="15">
        <v>1</v>
      </c>
      <c r="N167" s="15" t="s">
        <v>88</v>
      </c>
      <c r="O167" s="15" t="s">
        <v>50</v>
      </c>
    </row>
    <row r="168" spans="1:15" x14ac:dyDescent="0.25">
      <c r="A168" s="15" t="s">
        <v>237</v>
      </c>
      <c r="B168" s="15">
        <v>335.4</v>
      </c>
      <c r="C168" s="15">
        <v>33.66</v>
      </c>
      <c r="D168" s="15">
        <v>2109</v>
      </c>
      <c r="E168" s="15">
        <v>262</v>
      </c>
      <c r="F168" s="15">
        <v>38</v>
      </c>
      <c r="G168" s="15">
        <v>38</v>
      </c>
      <c r="H168" s="15">
        <v>35957</v>
      </c>
      <c r="I168" s="15">
        <v>127746</v>
      </c>
      <c r="J168" s="15">
        <v>590.9</v>
      </c>
      <c r="K168" s="15">
        <v>3.11</v>
      </c>
      <c r="L168" s="15">
        <v>6733</v>
      </c>
      <c r="M168" s="15">
        <v>1</v>
      </c>
      <c r="N168" s="15" t="s">
        <v>63</v>
      </c>
      <c r="O168" s="15" t="s">
        <v>50</v>
      </c>
    </row>
    <row r="169" spans="1:15" x14ac:dyDescent="0.25">
      <c r="A169" s="15" t="s">
        <v>238</v>
      </c>
      <c r="B169" s="15">
        <v>337.5</v>
      </c>
      <c r="C169" s="15">
        <v>34.26</v>
      </c>
      <c r="D169" s="15">
        <v>2065</v>
      </c>
      <c r="E169" s="15">
        <v>431</v>
      </c>
      <c r="F169" s="15">
        <v>38</v>
      </c>
      <c r="G169" s="15">
        <v>38</v>
      </c>
      <c r="H169" s="15">
        <v>36176</v>
      </c>
      <c r="I169" s="15">
        <v>128536</v>
      </c>
      <c r="J169" s="15">
        <v>594.91</v>
      </c>
      <c r="K169" s="15">
        <v>3.3</v>
      </c>
      <c r="L169" s="15">
        <v>6774</v>
      </c>
      <c r="M169" s="15">
        <v>1</v>
      </c>
      <c r="N169" s="15" t="s">
        <v>76</v>
      </c>
      <c r="O169" s="15" t="s">
        <v>50</v>
      </c>
    </row>
    <row r="170" spans="1:15" x14ac:dyDescent="0.25">
      <c r="A170" s="15" t="s">
        <v>239</v>
      </c>
      <c r="B170" s="15">
        <v>339.5</v>
      </c>
      <c r="C170" s="15">
        <v>33.91</v>
      </c>
      <c r="D170" s="15">
        <v>2037</v>
      </c>
      <c r="E170" s="15">
        <v>425</v>
      </c>
      <c r="F170" s="15">
        <v>38</v>
      </c>
      <c r="G170" s="15">
        <v>38</v>
      </c>
      <c r="H170" s="15">
        <v>36320</v>
      </c>
      <c r="I170" s="15">
        <v>129341</v>
      </c>
      <c r="J170" s="15">
        <v>597.72</v>
      </c>
      <c r="K170" s="15">
        <v>2.31</v>
      </c>
      <c r="L170" s="15">
        <v>6814</v>
      </c>
      <c r="M170" s="15">
        <v>1</v>
      </c>
      <c r="N170" s="15" t="s">
        <v>61</v>
      </c>
      <c r="O170" s="15" t="s">
        <v>50</v>
      </c>
    </row>
    <row r="171" spans="1:15" x14ac:dyDescent="0.25">
      <c r="A171" s="15" t="s">
        <v>240</v>
      </c>
      <c r="B171" s="15">
        <v>341.5</v>
      </c>
      <c r="C171" s="15">
        <v>34.39</v>
      </c>
      <c r="D171" s="15">
        <v>1464</v>
      </c>
      <c r="E171" s="15">
        <v>236</v>
      </c>
      <c r="F171" s="15">
        <v>38</v>
      </c>
      <c r="G171" s="15">
        <v>38</v>
      </c>
      <c r="H171" s="15">
        <v>36557</v>
      </c>
      <c r="I171" s="15">
        <v>130280</v>
      </c>
      <c r="J171" s="15">
        <v>600.62</v>
      </c>
      <c r="K171" s="15">
        <v>2.39</v>
      </c>
      <c r="L171" s="15">
        <v>6855</v>
      </c>
      <c r="M171" s="15">
        <v>1</v>
      </c>
      <c r="N171" s="15" t="s">
        <v>47</v>
      </c>
      <c r="O171" s="15" t="s">
        <v>50</v>
      </c>
    </row>
    <row r="172" spans="1:15" x14ac:dyDescent="0.25">
      <c r="A172" s="15" t="s">
        <v>241</v>
      </c>
      <c r="B172" s="15">
        <v>343.5</v>
      </c>
      <c r="C172" s="15">
        <v>33.69</v>
      </c>
      <c r="D172" s="15">
        <v>2107</v>
      </c>
      <c r="E172" s="15">
        <v>262</v>
      </c>
      <c r="F172" s="15">
        <v>38</v>
      </c>
      <c r="G172" s="15">
        <v>38</v>
      </c>
      <c r="H172" s="15">
        <v>36678</v>
      </c>
      <c r="I172" s="15">
        <v>130914</v>
      </c>
      <c r="J172" s="15">
        <v>602.96</v>
      </c>
      <c r="K172" s="15">
        <v>1.92</v>
      </c>
      <c r="L172" s="15">
        <v>6895</v>
      </c>
      <c r="M172" s="15">
        <v>1</v>
      </c>
      <c r="N172" s="15" t="s">
        <v>63</v>
      </c>
      <c r="O172" s="15" t="s">
        <v>50</v>
      </c>
    </row>
    <row r="173" spans="1:15" x14ac:dyDescent="0.25">
      <c r="A173" s="15" t="s">
        <v>242</v>
      </c>
      <c r="B173" s="15">
        <v>345.6</v>
      </c>
      <c r="C173" s="15">
        <v>33.69</v>
      </c>
      <c r="D173" s="15">
        <v>2121</v>
      </c>
      <c r="E173" s="15">
        <v>380</v>
      </c>
      <c r="F173" s="15">
        <v>38</v>
      </c>
      <c r="G173" s="15">
        <v>38</v>
      </c>
      <c r="H173" s="15">
        <v>36861</v>
      </c>
      <c r="I173" s="15">
        <v>131704</v>
      </c>
      <c r="J173" s="15">
        <v>606.36</v>
      </c>
      <c r="K173" s="15">
        <v>2.8</v>
      </c>
      <c r="L173" s="15">
        <v>6936</v>
      </c>
      <c r="M173" s="15">
        <v>1</v>
      </c>
      <c r="N173" s="15" t="s">
        <v>70</v>
      </c>
      <c r="O173" s="15" t="s">
        <v>50</v>
      </c>
    </row>
    <row r="174" spans="1:15" x14ac:dyDescent="0.25">
      <c r="A174" s="15" t="s">
        <v>243</v>
      </c>
      <c r="B174" s="15">
        <v>347.6</v>
      </c>
      <c r="C174" s="15">
        <v>33.93</v>
      </c>
      <c r="D174" s="15">
        <v>2070</v>
      </c>
      <c r="E174" s="15">
        <v>404</v>
      </c>
      <c r="F174" s="15">
        <v>38</v>
      </c>
      <c r="G174" s="15">
        <v>38</v>
      </c>
      <c r="H174" s="15">
        <v>37033</v>
      </c>
      <c r="I174" s="15">
        <v>132345</v>
      </c>
      <c r="J174" s="15">
        <v>609.82</v>
      </c>
      <c r="K174" s="15">
        <v>2.85</v>
      </c>
      <c r="L174" s="15">
        <v>6976</v>
      </c>
      <c r="M174" s="15">
        <v>1</v>
      </c>
      <c r="N174" s="15" t="s">
        <v>83</v>
      </c>
      <c r="O174" s="15" t="s">
        <v>50</v>
      </c>
    </row>
    <row r="175" spans="1:15" x14ac:dyDescent="0.25">
      <c r="A175" s="15" t="s">
        <v>244</v>
      </c>
      <c r="B175" s="15">
        <v>349.6</v>
      </c>
      <c r="C175" s="15">
        <v>33.69</v>
      </c>
      <c r="D175" s="15">
        <v>2071</v>
      </c>
      <c r="E175" s="15">
        <v>373</v>
      </c>
      <c r="F175" s="15">
        <v>38</v>
      </c>
      <c r="G175" s="15">
        <v>38</v>
      </c>
      <c r="H175" s="15">
        <v>37271</v>
      </c>
      <c r="I175" s="15">
        <v>133104</v>
      </c>
      <c r="J175" s="15">
        <v>613.58</v>
      </c>
      <c r="K175" s="15">
        <v>3.09</v>
      </c>
      <c r="L175" s="15">
        <v>7017</v>
      </c>
      <c r="M175" s="15">
        <v>1</v>
      </c>
      <c r="N175" s="15" t="s">
        <v>88</v>
      </c>
      <c r="O175" s="15" t="s">
        <v>50</v>
      </c>
    </row>
    <row r="176" spans="1:15" x14ac:dyDescent="0.25">
      <c r="A176" s="15" t="s">
        <v>245</v>
      </c>
      <c r="B176" s="15">
        <v>351.7</v>
      </c>
      <c r="C176" s="15">
        <v>33.82</v>
      </c>
      <c r="D176" s="15">
        <v>1960</v>
      </c>
      <c r="E176" s="15">
        <v>350</v>
      </c>
      <c r="F176" s="15">
        <v>38</v>
      </c>
      <c r="G176" s="15">
        <v>38</v>
      </c>
      <c r="H176" s="15">
        <v>37390</v>
      </c>
      <c r="I176" s="15">
        <v>133806</v>
      </c>
      <c r="J176" s="15">
        <v>616</v>
      </c>
      <c r="K176" s="15">
        <v>1.99</v>
      </c>
      <c r="L176" s="15">
        <v>7057</v>
      </c>
      <c r="M176" s="15">
        <v>1</v>
      </c>
      <c r="N176" s="15" t="s">
        <v>95</v>
      </c>
      <c r="O176" s="15" t="s">
        <v>50</v>
      </c>
    </row>
    <row r="177" spans="1:15" x14ac:dyDescent="0.25">
      <c r="A177" s="15" t="s">
        <v>246</v>
      </c>
      <c r="B177" s="15">
        <v>353.7</v>
      </c>
      <c r="C177" s="15">
        <v>33.08</v>
      </c>
      <c r="D177" s="15">
        <v>1407</v>
      </c>
      <c r="E177" s="15">
        <v>230</v>
      </c>
      <c r="F177" s="15">
        <v>38</v>
      </c>
      <c r="G177" s="15">
        <v>38</v>
      </c>
      <c r="H177" s="15">
        <v>37621</v>
      </c>
      <c r="I177" s="15">
        <v>134635</v>
      </c>
      <c r="J177" s="15">
        <v>618.9</v>
      </c>
      <c r="K177" s="15">
        <v>2.39</v>
      </c>
      <c r="L177" s="15">
        <v>7098</v>
      </c>
      <c r="M177" s="15">
        <v>1</v>
      </c>
      <c r="N177" s="15" t="s">
        <v>66</v>
      </c>
      <c r="O177" s="15" t="s">
        <v>50</v>
      </c>
    </row>
    <row r="178" spans="1:15" x14ac:dyDescent="0.25">
      <c r="A178" s="15" t="s">
        <v>247</v>
      </c>
      <c r="B178" s="15">
        <v>355.7</v>
      </c>
      <c r="C178" s="15">
        <v>34.01</v>
      </c>
      <c r="D178" s="15">
        <v>1517</v>
      </c>
      <c r="E178" s="15">
        <v>256</v>
      </c>
      <c r="F178" s="15">
        <v>38</v>
      </c>
      <c r="G178" s="15">
        <v>38</v>
      </c>
      <c r="H178" s="15">
        <v>37782</v>
      </c>
      <c r="I178" s="15">
        <v>135289</v>
      </c>
      <c r="J178" s="15">
        <v>622.7</v>
      </c>
      <c r="K178" s="15">
        <v>3.12</v>
      </c>
      <c r="L178" s="15">
        <v>7138</v>
      </c>
      <c r="M178" s="15">
        <v>1</v>
      </c>
      <c r="N178" s="15" t="s">
        <v>47</v>
      </c>
      <c r="O178" s="15" t="s">
        <v>50</v>
      </c>
    </row>
    <row r="179" spans="1:15" x14ac:dyDescent="0.25">
      <c r="A179" s="15" t="s">
        <v>248</v>
      </c>
      <c r="B179" s="15">
        <v>357.7</v>
      </c>
      <c r="C179" s="15">
        <v>33.8</v>
      </c>
      <c r="D179" s="15">
        <v>2129</v>
      </c>
      <c r="E179" s="15">
        <v>327</v>
      </c>
      <c r="F179" s="15">
        <v>38</v>
      </c>
      <c r="G179" s="15">
        <v>38</v>
      </c>
      <c r="H179" s="15">
        <v>38032</v>
      </c>
      <c r="I179" s="15">
        <v>136068</v>
      </c>
      <c r="J179" s="15">
        <v>628.12</v>
      </c>
      <c r="K179" s="15">
        <v>4.45</v>
      </c>
      <c r="L179" s="15">
        <v>7179</v>
      </c>
      <c r="M179" s="15">
        <v>1</v>
      </c>
      <c r="N179" s="15" t="s">
        <v>100</v>
      </c>
      <c r="O179" s="15" t="s">
        <v>50</v>
      </c>
    </row>
    <row r="180" spans="1:15" x14ac:dyDescent="0.25">
      <c r="A180" s="15" t="s">
        <v>249</v>
      </c>
      <c r="B180" s="15">
        <v>359.8</v>
      </c>
      <c r="C180" s="15">
        <v>33</v>
      </c>
      <c r="D180" s="15">
        <v>1308</v>
      </c>
      <c r="E180" s="15">
        <v>177</v>
      </c>
      <c r="F180" s="15">
        <v>38</v>
      </c>
      <c r="G180" s="15">
        <v>38</v>
      </c>
      <c r="H180" s="15">
        <v>38205</v>
      </c>
      <c r="I180" s="15">
        <v>136904</v>
      </c>
      <c r="J180" s="15">
        <v>631.77</v>
      </c>
      <c r="K180" s="15">
        <v>3</v>
      </c>
      <c r="L180" s="15">
        <v>7219</v>
      </c>
      <c r="M180" s="15">
        <v>1</v>
      </c>
      <c r="N180" s="15" t="s">
        <v>93</v>
      </c>
      <c r="O180" s="15" t="s">
        <v>50</v>
      </c>
    </row>
    <row r="181" spans="1:15" x14ac:dyDescent="0.25">
      <c r="A181" s="15" t="s">
        <v>250</v>
      </c>
      <c r="B181" s="15">
        <v>361.8</v>
      </c>
      <c r="C181" s="15">
        <v>33.96</v>
      </c>
      <c r="D181" s="15">
        <v>2563</v>
      </c>
      <c r="E181" s="15">
        <v>524</v>
      </c>
      <c r="F181" s="15">
        <v>38</v>
      </c>
      <c r="G181" s="15">
        <v>38</v>
      </c>
      <c r="H181" s="15">
        <v>38346</v>
      </c>
      <c r="I181" s="15">
        <v>137516</v>
      </c>
      <c r="J181" s="15">
        <v>635.39</v>
      </c>
      <c r="K181" s="15">
        <v>2.98</v>
      </c>
      <c r="L181" s="15">
        <v>7260</v>
      </c>
      <c r="M181" s="15">
        <v>1</v>
      </c>
      <c r="N181" s="15" t="s">
        <v>59</v>
      </c>
      <c r="O181" s="15" t="s">
        <v>50</v>
      </c>
    </row>
    <row r="182" spans="1:15" x14ac:dyDescent="0.25">
      <c r="A182" s="15" t="s">
        <v>251</v>
      </c>
      <c r="B182" s="15">
        <v>363.9</v>
      </c>
      <c r="C182" s="15">
        <v>33.75</v>
      </c>
      <c r="D182" s="15">
        <v>2092</v>
      </c>
      <c r="E182" s="15">
        <v>397</v>
      </c>
      <c r="F182" s="15">
        <v>38</v>
      </c>
      <c r="G182" s="15">
        <v>38</v>
      </c>
      <c r="H182" s="15">
        <v>38538</v>
      </c>
      <c r="I182" s="15">
        <v>138160</v>
      </c>
      <c r="J182" s="15">
        <v>645.6</v>
      </c>
      <c r="K182" s="15">
        <v>7.96</v>
      </c>
      <c r="L182" s="15">
        <v>7301</v>
      </c>
      <c r="M182" s="15">
        <v>1</v>
      </c>
      <c r="N182" s="15" t="s">
        <v>83</v>
      </c>
      <c r="O182" s="15" t="s">
        <v>50</v>
      </c>
    </row>
    <row r="183" spans="1:15" x14ac:dyDescent="0.25">
      <c r="A183" s="15" t="s">
        <v>252</v>
      </c>
      <c r="B183" s="15">
        <v>366</v>
      </c>
      <c r="C183" s="15">
        <v>33.85</v>
      </c>
      <c r="D183" s="15">
        <v>1449</v>
      </c>
      <c r="E183" s="15">
        <v>229</v>
      </c>
      <c r="F183" s="15">
        <v>38</v>
      </c>
      <c r="G183" s="15">
        <v>38</v>
      </c>
      <c r="H183" s="15">
        <v>38697</v>
      </c>
      <c r="I183" s="15">
        <v>138798</v>
      </c>
      <c r="J183" s="15">
        <v>649.99</v>
      </c>
      <c r="K183" s="15">
        <v>3.61</v>
      </c>
      <c r="L183" s="15">
        <v>7342</v>
      </c>
      <c r="M183" s="15">
        <v>1</v>
      </c>
      <c r="N183" s="15" t="s">
        <v>253</v>
      </c>
      <c r="O183" s="15" t="s">
        <v>50</v>
      </c>
    </row>
    <row r="184" spans="1:15" x14ac:dyDescent="0.25">
      <c r="A184" s="15" t="s">
        <v>254</v>
      </c>
      <c r="B184" s="15">
        <v>368</v>
      </c>
      <c r="C184" s="15">
        <v>33.73</v>
      </c>
      <c r="D184" s="15">
        <v>2108</v>
      </c>
      <c r="E184" s="15">
        <v>382</v>
      </c>
      <c r="F184" s="15">
        <v>38</v>
      </c>
      <c r="G184" s="15">
        <v>38</v>
      </c>
      <c r="H184" s="15">
        <v>38922</v>
      </c>
      <c r="I184" s="15">
        <v>139431</v>
      </c>
      <c r="J184" s="15">
        <v>654.22</v>
      </c>
      <c r="K184" s="15">
        <v>3.48</v>
      </c>
      <c r="L184" s="15">
        <v>7382</v>
      </c>
      <c r="M184" s="15">
        <v>1</v>
      </c>
      <c r="N184" s="15" t="s">
        <v>88</v>
      </c>
      <c r="O184" s="15" t="s">
        <v>50</v>
      </c>
    </row>
    <row r="185" spans="1:15" x14ac:dyDescent="0.25">
      <c r="A185" s="15" t="s">
        <v>255</v>
      </c>
      <c r="B185" s="15">
        <v>370</v>
      </c>
      <c r="C185" s="15">
        <v>34.09</v>
      </c>
      <c r="D185" s="15">
        <v>2609</v>
      </c>
      <c r="E185" s="15">
        <v>262</v>
      </c>
      <c r="F185" s="15">
        <v>38</v>
      </c>
      <c r="G185" s="15">
        <v>38</v>
      </c>
      <c r="H185" s="15">
        <v>39131</v>
      </c>
      <c r="I185" s="15">
        <v>140234</v>
      </c>
      <c r="J185" s="15">
        <v>658.61</v>
      </c>
      <c r="K185" s="15">
        <v>3.61</v>
      </c>
      <c r="L185" s="15">
        <v>7423</v>
      </c>
      <c r="M185" s="15">
        <v>1</v>
      </c>
      <c r="N185" s="15" t="s">
        <v>63</v>
      </c>
      <c r="O185" s="15" t="s">
        <v>50</v>
      </c>
    </row>
    <row r="186" spans="1:15" x14ac:dyDescent="0.25">
      <c r="A186" s="15" t="s">
        <v>256</v>
      </c>
      <c r="B186" s="15">
        <v>372</v>
      </c>
      <c r="C186" s="15">
        <v>33.7</v>
      </c>
      <c r="D186" s="15">
        <v>2065</v>
      </c>
      <c r="E186" s="15">
        <v>370</v>
      </c>
      <c r="F186" s="15">
        <v>38</v>
      </c>
      <c r="G186" s="15">
        <v>38</v>
      </c>
      <c r="H186" s="15">
        <v>39373</v>
      </c>
      <c r="I186" s="15">
        <v>141077</v>
      </c>
      <c r="J186" s="15">
        <v>663.31</v>
      </c>
      <c r="K186" s="15">
        <v>3.86</v>
      </c>
      <c r="L186" s="15">
        <v>7463</v>
      </c>
      <c r="M186" s="15">
        <v>1</v>
      </c>
      <c r="N186" s="15" t="s">
        <v>88</v>
      </c>
      <c r="O186" s="15" t="s">
        <v>50</v>
      </c>
    </row>
    <row r="187" spans="1:15" x14ac:dyDescent="0.25">
      <c r="A187" s="15" t="s">
        <v>257</v>
      </c>
      <c r="B187" s="15">
        <v>374.1</v>
      </c>
      <c r="C187" s="15">
        <v>34.03</v>
      </c>
      <c r="D187" s="15">
        <v>2128</v>
      </c>
      <c r="E187" s="15">
        <v>279</v>
      </c>
      <c r="F187" s="15">
        <v>38</v>
      </c>
      <c r="G187" s="15">
        <v>38</v>
      </c>
      <c r="H187" s="15">
        <v>39725</v>
      </c>
      <c r="I187" s="15">
        <v>141895</v>
      </c>
      <c r="J187" s="15">
        <v>670.11</v>
      </c>
      <c r="K187" s="15">
        <v>5.59</v>
      </c>
      <c r="L187" s="15">
        <v>7504</v>
      </c>
      <c r="M187" s="15">
        <v>1</v>
      </c>
      <c r="N187" s="15" t="s">
        <v>63</v>
      </c>
      <c r="O187" s="15" t="s">
        <v>50</v>
      </c>
    </row>
    <row r="188" spans="1:15" x14ac:dyDescent="0.25">
      <c r="A188" s="15" t="s">
        <v>258</v>
      </c>
      <c r="B188" s="15">
        <v>376.1</v>
      </c>
      <c r="C188" s="15">
        <v>33.84</v>
      </c>
      <c r="D188" s="15">
        <v>2099</v>
      </c>
      <c r="E188" s="15">
        <v>441</v>
      </c>
      <c r="F188" s="15">
        <v>38</v>
      </c>
      <c r="G188" s="15">
        <v>38</v>
      </c>
      <c r="H188" s="15">
        <v>39967</v>
      </c>
      <c r="I188" s="15">
        <v>142679</v>
      </c>
      <c r="J188" s="15">
        <v>675.24</v>
      </c>
      <c r="K188" s="15">
        <v>4.22</v>
      </c>
      <c r="L188" s="15">
        <v>7544</v>
      </c>
      <c r="M188" s="15">
        <v>1</v>
      </c>
      <c r="N188" s="15" t="s">
        <v>76</v>
      </c>
      <c r="O188" s="15" t="s">
        <v>50</v>
      </c>
    </row>
    <row r="189" spans="1:15" x14ac:dyDescent="0.25">
      <c r="A189" s="15" t="s">
        <v>259</v>
      </c>
      <c r="B189" s="15">
        <v>378.1</v>
      </c>
      <c r="C189" s="15">
        <v>34.65</v>
      </c>
      <c r="D189" s="15">
        <v>2220</v>
      </c>
      <c r="E189" s="15">
        <v>506</v>
      </c>
      <c r="F189" s="15">
        <v>38</v>
      </c>
      <c r="G189" s="15">
        <v>38</v>
      </c>
      <c r="H189" s="15">
        <v>40099</v>
      </c>
      <c r="I189" s="15">
        <v>143291</v>
      </c>
      <c r="J189" s="15">
        <v>679.64</v>
      </c>
      <c r="K189" s="15">
        <v>3.62</v>
      </c>
      <c r="L189" s="15">
        <v>7585</v>
      </c>
      <c r="M189" s="15">
        <v>1</v>
      </c>
      <c r="N189" s="15" t="s">
        <v>76</v>
      </c>
      <c r="O189" s="15" t="s">
        <v>50</v>
      </c>
    </row>
    <row r="190" spans="1:15" x14ac:dyDescent="0.25">
      <c r="A190" s="15" t="s">
        <v>260</v>
      </c>
      <c r="B190" s="15">
        <v>380.2</v>
      </c>
      <c r="C190" s="15">
        <v>33.24</v>
      </c>
      <c r="D190" s="15">
        <v>1335</v>
      </c>
      <c r="E190" s="15">
        <v>168</v>
      </c>
      <c r="F190" s="15">
        <v>38</v>
      </c>
      <c r="G190" s="15">
        <v>38</v>
      </c>
      <c r="H190" s="15">
        <v>40408</v>
      </c>
      <c r="I190" s="15">
        <v>144133</v>
      </c>
      <c r="J190" s="15">
        <v>686.32</v>
      </c>
      <c r="K190" s="15">
        <v>5.49</v>
      </c>
      <c r="L190" s="15">
        <v>7625</v>
      </c>
      <c r="M190" s="15">
        <v>1</v>
      </c>
      <c r="N190" s="15" t="s">
        <v>144</v>
      </c>
      <c r="O190" s="15" t="s">
        <v>50</v>
      </c>
    </row>
    <row r="191" spans="1:15" x14ac:dyDescent="0.25">
      <c r="A191" s="15" t="s">
        <v>261</v>
      </c>
      <c r="B191" s="15">
        <v>382.2</v>
      </c>
      <c r="C191" s="15">
        <v>34.39</v>
      </c>
      <c r="D191" s="15">
        <v>1952</v>
      </c>
      <c r="E191" s="15">
        <v>429</v>
      </c>
      <c r="F191" s="15">
        <v>38</v>
      </c>
      <c r="G191" s="15">
        <v>38</v>
      </c>
      <c r="H191" s="15">
        <v>40616</v>
      </c>
      <c r="I191" s="15">
        <v>144929</v>
      </c>
      <c r="J191" s="15">
        <v>691.16</v>
      </c>
      <c r="K191" s="15">
        <v>3.98</v>
      </c>
      <c r="L191" s="15">
        <v>7666</v>
      </c>
      <c r="M191" s="15">
        <v>1</v>
      </c>
      <c r="N191" s="15" t="s">
        <v>56</v>
      </c>
      <c r="O191" s="15" t="s">
        <v>50</v>
      </c>
    </row>
    <row r="192" spans="1:15" x14ac:dyDescent="0.25">
      <c r="A192" s="15" t="s">
        <v>262</v>
      </c>
      <c r="B192" s="15">
        <v>384.2</v>
      </c>
      <c r="C192" s="15">
        <v>33.14</v>
      </c>
      <c r="D192" s="15">
        <v>1316</v>
      </c>
      <c r="E192" s="15">
        <v>178</v>
      </c>
      <c r="F192" s="15">
        <v>38</v>
      </c>
      <c r="G192" s="15">
        <v>38</v>
      </c>
      <c r="H192" s="15">
        <v>40823</v>
      </c>
      <c r="I192" s="15">
        <v>145694</v>
      </c>
      <c r="J192" s="15">
        <v>697.35</v>
      </c>
      <c r="K192" s="15">
        <v>5.09</v>
      </c>
      <c r="L192" s="15">
        <v>7706</v>
      </c>
      <c r="M192" s="15">
        <v>1</v>
      </c>
      <c r="N192" s="15" t="s">
        <v>109</v>
      </c>
      <c r="O192" s="15" t="s">
        <v>50</v>
      </c>
    </row>
    <row r="193" spans="1:15" x14ac:dyDescent="0.25">
      <c r="A193" s="15" t="s">
        <v>263</v>
      </c>
      <c r="B193" s="15">
        <v>386.2</v>
      </c>
      <c r="C193" s="15">
        <v>33.71</v>
      </c>
      <c r="D193" s="15">
        <v>1364</v>
      </c>
      <c r="E193" s="15">
        <v>211</v>
      </c>
      <c r="F193" s="15">
        <v>38</v>
      </c>
      <c r="G193" s="15">
        <v>38</v>
      </c>
      <c r="H193" s="15">
        <v>41037</v>
      </c>
      <c r="I193" s="15">
        <v>146544</v>
      </c>
      <c r="J193" s="15">
        <v>701</v>
      </c>
      <c r="K193" s="15">
        <v>3</v>
      </c>
      <c r="L193" s="15">
        <v>7747</v>
      </c>
      <c r="M193" s="15">
        <v>1</v>
      </c>
      <c r="N193" s="15" t="s">
        <v>52</v>
      </c>
      <c r="O193" s="15" t="s">
        <v>50</v>
      </c>
    </row>
    <row r="194" spans="1:15" x14ac:dyDescent="0.25">
      <c r="A194" s="15" t="s">
        <v>264</v>
      </c>
      <c r="B194" s="15">
        <v>388.3</v>
      </c>
      <c r="C194" s="15">
        <v>33.44</v>
      </c>
      <c r="D194" s="15">
        <v>1617</v>
      </c>
      <c r="E194" s="15">
        <v>262</v>
      </c>
      <c r="F194" s="15">
        <v>38</v>
      </c>
      <c r="G194" s="15">
        <v>38</v>
      </c>
      <c r="H194" s="15">
        <v>41230</v>
      </c>
      <c r="I194" s="15">
        <v>147260</v>
      </c>
      <c r="J194" s="15">
        <v>704.43</v>
      </c>
      <c r="K194" s="15">
        <v>2.82</v>
      </c>
      <c r="L194" s="15">
        <v>7787</v>
      </c>
      <c r="M194" s="15">
        <v>1</v>
      </c>
      <c r="N194" s="15" t="s">
        <v>63</v>
      </c>
      <c r="O194" s="15" t="s">
        <v>50</v>
      </c>
    </row>
    <row r="195" spans="1:15" x14ac:dyDescent="0.25">
      <c r="A195" s="15" t="s">
        <v>265</v>
      </c>
      <c r="B195" s="15">
        <v>390.3</v>
      </c>
      <c r="C195" s="15">
        <v>34.09</v>
      </c>
      <c r="D195" s="15">
        <v>2083</v>
      </c>
      <c r="E195" s="15">
        <v>448</v>
      </c>
      <c r="F195" s="15">
        <v>38</v>
      </c>
      <c r="G195" s="15">
        <v>38</v>
      </c>
      <c r="H195" s="15">
        <v>41408</v>
      </c>
      <c r="I195" s="15">
        <v>148050</v>
      </c>
      <c r="J195" s="15">
        <v>708.08</v>
      </c>
      <c r="K195" s="15">
        <v>3</v>
      </c>
      <c r="L195" s="15">
        <v>7828</v>
      </c>
      <c r="M195" s="15">
        <v>1</v>
      </c>
      <c r="N195" s="15" t="s">
        <v>76</v>
      </c>
      <c r="O195" s="15" t="s">
        <v>50</v>
      </c>
    </row>
    <row r="196" spans="1:15" x14ac:dyDescent="0.25">
      <c r="A196" s="15" t="s">
        <v>266</v>
      </c>
      <c r="B196" s="15">
        <v>392.3</v>
      </c>
      <c r="C196" s="15">
        <v>33.86</v>
      </c>
      <c r="D196" s="15">
        <v>2254</v>
      </c>
      <c r="E196" s="15">
        <v>365</v>
      </c>
      <c r="F196" s="15">
        <v>38</v>
      </c>
      <c r="G196" s="15">
        <v>38</v>
      </c>
      <c r="H196" s="15">
        <v>41575</v>
      </c>
      <c r="I196" s="15">
        <v>148807</v>
      </c>
      <c r="J196" s="15">
        <v>713.47</v>
      </c>
      <c r="K196" s="15">
        <v>4.42</v>
      </c>
      <c r="L196" s="15">
        <v>7868</v>
      </c>
      <c r="M196" s="15">
        <v>1</v>
      </c>
      <c r="N196" s="15" t="s">
        <v>54</v>
      </c>
      <c r="O196" s="15" t="s">
        <v>50</v>
      </c>
    </row>
    <row r="197" spans="1:15" x14ac:dyDescent="0.25">
      <c r="A197" s="15" t="s">
        <v>267</v>
      </c>
      <c r="B197" s="15">
        <v>394.4</v>
      </c>
      <c r="C197" s="15">
        <v>33.79</v>
      </c>
      <c r="D197" s="15">
        <v>2109</v>
      </c>
      <c r="E197" s="15">
        <v>267</v>
      </c>
      <c r="F197" s="15">
        <v>38</v>
      </c>
      <c r="G197" s="15">
        <v>38</v>
      </c>
      <c r="H197" s="15">
        <v>41845</v>
      </c>
      <c r="I197" s="15">
        <v>149654</v>
      </c>
      <c r="J197" s="15">
        <v>718.82</v>
      </c>
      <c r="K197" s="15">
        <v>4.39</v>
      </c>
      <c r="L197" s="15">
        <v>7909</v>
      </c>
      <c r="M197" s="15">
        <v>1</v>
      </c>
      <c r="N197" s="15" t="s">
        <v>63</v>
      </c>
      <c r="O197" s="15" t="s">
        <v>50</v>
      </c>
    </row>
    <row r="198" spans="1:15" x14ac:dyDescent="0.25">
      <c r="A198" s="15" t="s">
        <v>268</v>
      </c>
      <c r="B198" s="15">
        <v>396.4</v>
      </c>
      <c r="C198" s="15">
        <v>33.88</v>
      </c>
      <c r="D198" s="15">
        <v>2111</v>
      </c>
      <c r="E198" s="15">
        <v>322</v>
      </c>
      <c r="F198" s="15">
        <v>38</v>
      </c>
      <c r="G198" s="15">
        <v>38</v>
      </c>
      <c r="H198" s="15">
        <v>42090</v>
      </c>
      <c r="I198" s="15">
        <v>150393</v>
      </c>
      <c r="J198" s="15">
        <v>723.65</v>
      </c>
      <c r="K198" s="15">
        <v>3.98</v>
      </c>
      <c r="L198" s="15">
        <v>7949</v>
      </c>
      <c r="M198" s="15">
        <v>1</v>
      </c>
      <c r="N198" s="15" t="s">
        <v>100</v>
      </c>
      <c r="O198" s="15" t="s">
        <v>50</v>
      </c>
    </row>
    <row r="199" spans="1:15" x14ac:dyDescent="0.25">
      <c r="A199" s="15" t="s">
        <v>269</v>
      </c>
      <c r="B199" s="15">
        <v>398.4</v>
      </c>
      <c r="C199" s="15">
        <v>34.26</v>
      </c>
      <c r="D199" s="15">
        <v>1517</v>
      </c>
      <c r="E199" s="15">
        <v>256</v>
      </c>
      <c r="F199" s="15">
        <v>38</v>
      </c>
      <c r="G199" s="15">
        <v>38</v>
      </c>
      <c r="H199" s="15">
        <v>42270</v>
      </c>
      <c r="I199" s="15">
        <v>151109</v>
      </c>
      <c r="J199" s="15">
        <v>727.6</v>
      </c>
      <c r="K199" s="15">
        <v>3.25</v>
      </c>
      <c r="L199" s="15">
        <v>7990</v>
      </c>
      <c r="M199" s="15">
        <v>1</v>
      </c>
      <c r="N199" s="15" t="s">
        <v>47</v>
      </c>
      <c r="O199" s="15" t="s">
        <v>50</v>
      </c>
    </row>
    <row r="200" spans="1:15" x14ac:dyDescent="0.25">
      <c r="A200" s="15" t="s">
        <v>270</v>
      </c>
      <c r="B200" s="15">
        <v>400.4</v>
      </c>
      <c r="C200" s="15">
        <v>33.82</v>
      </c>
      <c r="D200" s="15">
        <v>2143</v>
      </c>
      <c r="E200" s="15">
        <v>282</v>
      </c>
      <c r="F200" s="15">
        <v>38</v>
      </c>
      <c r="G200" s="15">
        <v>38</v>
      </c>
      <c r="H200" s="15">
        <v>42479</v>
      </c>
      <c r="I200" s="15">
        <v>151861</v>
      </c>
      <c r="J200" s="15">
        <v>730.99</v>
      </c>
      <c r="K200" s="15">
        <v>2.78</v>
      </c>
      <c r="L200" s="15">
        <v>8030</v>
      </c>
      <c r="M200" s="15">
        <v>1</v>
      </c>
      <c r="N200" s="15" t="s">
        <v>63</v>
      </c>
      <c r="O200" s="15" t="s">
        <v>50</v>
      </c>
    </row>
    <row r="201" spans="1:15" x14ac:dyDescent="0.25">
      <c r="A201" s="15" t="s">
        <v>271</v>
      </c>
      <c r="B201" s="15">
        <v>402.5</v>
      </c>
      <c r="C201" s="15">
        <v>33.69</v>
      </c>
      <c r="D201" s="15">
        <v>2122</v>
      </c>
      <c r="E201" s="15">
        <v>272</v>
      </c>
      <c r="F201" s="15">
        <v>38</v>
      </c>
      <c r="G201" s="15">
        <v>38</v>
      </c>
      <c r="H201" s="15">
        <v>42626</v>
      </c>
      <c r="I201" s="15">
        <v>152656</v>
      </c>
      <c r="J201" s="15">
        <v>734.3</v>
      </c>
      <c r="K201" s="15">
        <v>2.73</v>
      </c>
      <c r="L201" s="15">
        <v>8071</v>
      </c>
      <c r="M201" s="15">
        <v>1</v>
      </c>
      <c r="N201" s="15" t="s">
        <v>63</v>
      </c>
      <c r="O201" s="15" t="s">
        <v>50</v>
      </c>
    </row>
    <row r="202" spans="1:15" x14ac:dyDescent="0.25">
      <c r="A202" s="15" t="s">
        <v>272</v>
      </c>
      <c r="B202" s="15">
        <v>404.5</v>
      </c>
      <c r="C202" s="15">
        <v>33.26</v>
      </c>
      <c r="D202" s="15">
        <v>1407</v>
      </c>
      <c r="E202" s="15">
        <v>226</v>
      </c>
      <c r="F202" s="15">
        <v>38</v>
      </c>
      <c r="G202" s="15">
        <v>38</v>
      </c>
      <c r="H202" s="15">
        <v>42856</v>
      </c>
      <c r="I202" s="15">
        <v>153403</v>
      </c>
      <c r="J202" s="15">
        <v>738.61</v>
      </c>
      <c r="K202" s="15">
        <v>3.54</v>
      </c>
      <c r="L202" s="15">
        <v>8111</v>
      </c>
      <c r="M202" s="15">
        <v>1</v>
      </c>
      <c r="N202" s="15" t="s">
        <v>66</v>
      </c>
      <c r="O202" s="15" t="s">
        <v>50</v>
      </c>
    </row>
    <row r="203" spans="1:15" x14ac:dyDescent="0.25">
      <c r="A203" s="15" t="s">
        <v>273</v>
      </c>
      <c r="B203" s="15">
        <v>406.5</v>
      </c>
      <c r="C203" s="15">
        <v>34.1</v>
      </c>
      <c r="D203" s="15">
        <v>2410</v>
      </c>
      <c r="E203" s="15">
        <v>527</v>
      </c>
      <c r="F203" s="15">
        <v>38</v>
      </c>
      <c r="G203" s="15">
        <v>38</v>
      </c>
      <c r="H203" s="15">
        <v>43061</v>
      </c>
      <c r="I203" s="15">
        <v>154213</v>
      </c>
      <c r="J203" s="15">
        <v>741.61</v>
      </c>
      <c r="K203" s="15">
        <v>2.47</v>
      </c>
      <c r="L203" s="15">
        <v>8152</v>
      </c>
      <c r="M203" s="15">
        <v>1</v>
      </c>
      <c r="N203" s="15" t="s">
        <v>88</v>
      </c>
      <c r="O203" s="15" t="s">
        <v>50</v>
      </c>
    </row>
    <row r="204" spans="1:15" x14ac:dyDescent="0.25">
      <c r="A204" s="15" t="s">
        <v>274</v>
      </c>
      <c r="B204" s="15">
        <v>408.5</v>
      </c>
      <c r="C204" s="15">
        <v>33.69</v>
      </c>
      <c r="D204" s="15">
        <v>2107</v>
      </c>
      <c r="E204" s="15">
        <v>262</v>
      </c>
      <c r="F204" s="15">
        <v>38</v>
      </c>
      <c r="G204" s="15">
        <v>38</v>
      </c>
      <c r="H204" s="15">
        <v>43149</v>
      </c>
      <c r="I204" s="15">
        <v>154852</v>
      </c>
      <c r="J204" s="15">
        <v>744.7</v>
      </c>
      <c r="K204" s="15">
        <v>2.54</v>
      </c>
      <c r="L204" s="15">
        <v>8192</v>
      </c>
      <c r="M204" s="15">
        <v>1</v>
      </c>
      <c r="N204" s="15" t="s">
        <v>63</v>
      </c>
      <c r="O204" s="15" t="s">
        <v>50</v>
      </c>
    </row>
    <row r="205" spans="1:15" x14ac:dyDescent="0.25">
      <c r="A205" s="15" t="s">
        <v>275</v>
      </c>
      <c r="B205" s="15">
        <v>410.6</v>
      </c>
      <c r="C205" s="15">
        <v>33.6</v>
      </c>
      <c r="D205" s="15">
        <v>1617</v>
      </c>
      <c r="E205" s="15">
        <v>262</v>
      </c>
      <c r="F205" s="15">
        <v>38</v>
      </c>
      <c r="G205" s="15">
        <v>38</v>
      </c>
      <c r="H205" s="15">
        <v>43386</v>
      </c>
      <c r="I205" s="15">
        <v>155628</v>
      </c>
      <c r="J205" s="15">
        <v>749.85</v>
      </c>
      <c r="K205" s="15">
        <v>4.22</v>
      </c>
      <c r="L205" s="15">
        <v>8233</v>
      </c>
      <c r="M205" s="15">
        <v>1</v>
      </c>
      <c r="N205" s="15" t="s">
        <v>63</v>
      </c>
      <c r="O205" s="15" t="s">
        <v>50</v>
      </c>
    </row>
    <row r="206" spans="1:15" x14ac:dyDescent="0.25">
      <c r="A206" s="15" t="s">
        <v>276</v>
      </c>
      <c r="B206" s="15">
        <v>412.6</v>
      </c>
      <c r="C206" s="15">
        <v>33.69</v>
      </c>
      <c r="D206" s="15">
        <v>2109</v>
      </c>
      <c r="E206" s="15">
        <v>262</v>
      </c>
      <c r="F206" s="15">
        <v>38</v>
      </c>
      <c r="G206" s="15">
        <v>38</v>
      </c>
      <c r="H206" s="15">
        <v>43519</v>
      </c>
      <c r="I206" s="15">
        <v>156385</v>
      </c>
      <c r="J206" s="15">
        <v>753.59</v>
      </c>
      <c r="K206" s="15">
        <v>3.07</v>
      </c>
      <c r="L206" s="15">
        <v>8273</v>
      </c>
      <c r="M206" s="15">
        <v>1</v>
      </c>
      <c r="N206" s="15" t="s">
        <v>63</v>
      </c>
      <c r="O206" s="15" t="s">
        <v>50</v>
      </c>
    </row>
    <row r="207" spans="1:15" x14ac:dyDescent="0.25">
      <c r="A207" s="15" t="s">
        <v>277</v>
      </c>
      <c r="B207" s="15">
        <v>414.6</v>
      </c>
      <c r="C207" s="15">
        <v>34.12</v>
      </c>
      <c r="D207" s="15">
        <v>2148</v>
      </c>
      <c r="E207" s="15">
        <v>461</v>
      </c>
      <c r="F207" s="15">
        <v>38</v>
      </c>
      <c r="G207" s="15">
        <v>38</v>
      </c>
      <c r="H207" s="15">
        <v>43773</v>
      </c>
      <c r="I207" s="15">
        <v>157207</v>
      </c>
      <c r="J207" s="15">
        <v>758.36</v>
      </c>
      <c r="K207" s="15">
        <v>3.92</v>
      </c>
      <c r="L207" s="15">
        <v>8314</v>
      </c>
      <c r="M207" s="15">
        <v>1</v>
      </c>
      <c r="N207" s="15" t="s">
        <v>56</v>
      </c>
      <c r="O207" s="15" t="s">
        <v>50</v>
      </c>
    </row>
    <row r="208" spans="1:15" x14ac:dyDescent="0.25">
      <c r="A208" s="15" t="s">
        <v>278</v>
      </c>
      <c r="B208" s="15">
        <v>416.7</v>
      </c>
      <c r="C208" s="15">
        <v>34.07</v>
      </c>
      <c r="D208" s="15">
        <v>1650</v>
      </c>
      <c r="E208" s="15">
        <v>272</v>
      </c>
      <c r="F208" s="15">
        <v>38</v>
      </c>
      <c r="G208" s="15">
        <v>38</v>
      </c>
      <c r="H208" s="15">
        <v>43963</v>
      </c>
      <c r="I208" s="15">
        <v>157959</v>
      </c>
      <c r="J208" s="15">
        <v>762.8</v>
      </c>
      <c r="K208" s="15">
        <v>3.65</v>
      </c>
      <c r="L208" s="15">
        <v>8355</v>
      </c>
      <c r="M208" s="15">
        <v>1</v>
      </c>
      <c r="N208" s="15" t="s">
        <v>63</v>
      </c>
      <c r="O208" s="15" t="s">
        <v>50</v>
      </c>
    </row>
    <row r="209" spans="1:15" x14ac:dyDescent="0.25">
      <c r="A209" s="15" t="s">
        <v>279</v>
      </c>
      <c r="B209" s="15">
        <v>418.7</v>
      </c>
      <c r="C209" s="15">
        <v>34.14</v>
      </c>
      <c r="D209" s="15">
        <v>2539</v>
      </c>
      <c r="E209" s="15">
        <v>524</v>
      </c>
      <c r="F209" s="15">
        <v>38</v>
      </c>
      <c r="G209" s="15">
        <v>38</v>
      </c>
      <c r="H209" s="15">
        <v>44227</v>
      </c>
      <c r="I209" s="15">
        <v>158776</v>
      </c>
      <c r="J209" s="15">
        <v>768.07</v>
      </c>
      <c r="K209" s="15">
        <v>4.32</v>
      </c>
      <c r="L209" s="15">
        <v>8395</v>
      </c>
      <c r="M209" s="15">
        <v>1</v>
      </c>
      <c r="N209" s="15" t="s">
        <v>59</v>
      </c>
      <c r="O209" s="15" t="s">
        <v>50</v>
      </c>
    </row>
    <row r="210" spans="1:15" x14ac:dyDescent="0.25">
      <c r="A210" s="15" t="s">
        <v>280</v>
      </c>
      <c r="B210" s="15">
        <v>420.7</v>
      </c>
      <c r="C210" s="15">
        <v>34.22</v>
      </c>
      <c r="D210" s="15">
        <v>2607</v>
      </c>
      <c r="E210" s="15">
        <v>262</v>
      </c>
      <c r="F210" s="15">
        <v>38</v>
      </c>
      <c r="G210" s="15">
        <v>38</v>
      </c>
      <c r="H210" s="15">
        <v>44360</v>
      </c>
      <c r="I210" s="15">
        <v>159465</v>
      </c>
      <c r="J210" s="15">
        <v>771.86</v>
      </c>
      <c r="K210" s="15">
        <v>3.11</v>
      </c>
      <c r="L210" s="15">
        <v>8436</v>
      </c>
      <c r="M210" s="15">
        <v>1</v>
      </c>
      <c r="N210" s="15" t="s">
        <v>63</v>
      </c>
      <c r="O210" s="15" t="s">
        <v>50</v>
      </c>
    </row>
    <row r="211" spans="1:15" x14ac:dyDescent="0.25">
      <c r="A211" s="15" t="s">
        <v>281</v>
      </c>
      <c r="B211" s="15">
        <v>422.8</v>
      </c>
      <c r="C211" s="15">
        <v>33.8</v>
      </c>
      <c r="D211" s="15">
        <v>2101</v>
      </c>
      <c r="E211" s="15">
        <v>380</v>
      </c>
      <c r="F211" s="15">
        <v>38</v>
      </c>
      <c r="G211" s="15">
        <v>38</v>
      </c>
      <c r="H211" s="15">
        <v>44616</v>
      </c>
      <c r="I211" s="15">
        <v>160304</v>
      </c>
      <c r="J211" s="15">
        <v>777.16</v>
      </c>
      <c r="K211" s="15">
        <v>4.36</v>
      </c>
      <c r="L211" s="15">
        <v>8476</v>
      </c>
      <c r="M211" s="15">
        <v>1</v>
      </c>
      <c r="N211" s="15" t="s">
        <v>88</v>
      </c>
      <c r="O211" s="15" t="s">
        <v>50</v>
      </c>
    </row>
    <row r="212" spans="1:15" x14ac:dyDescent="0.25">
      <c r="A212" s="15" t="s">
        <v>282</v>
      </c>
      <c r="B212" s="15">
        <v>424.8</v>
      </c>
      <c r="C212" s="15">
        <v>33.25</v>
      </c>
      <c r="D212" s="15">
        <v>1338</v>
      </c>
      <c r="E212" s="15">
        <v>192</v>
      </c>
      <c r="F212" s="15">
        <v>38</v>
      </c>
      <c r="G212" s="15">
        <v>38</v>
      </c>
      <c r="H212" s="15">
        <v>44824</v>
      </c>
      <c r="I212" s="15">
        <v>161091</v>
      </c>
      <c r="J212" s="15">
        <v>782.22</v>
      </c>
      <c r="K212" s="15">
        <v>4.16</v>
      </c>
      <c r="L212" s="15">
        <v>8517</v>
      </c>
      <c r="M212" s="15">
        <v>1</v>
      </c>
      <c r="N212" s="15" t="s">
        <v>52</v>
      </c>
      <c r="O212" s="15" t="s">
        <v>50</v>
      </c>
    </row>
    <row r="213" spans="1:15" x14ac:dyDescent="0.25">
      <c r="A213" s="15" t="s">
        <v>283</v>
      </c>
      <c r="B213" s="15">
        <v>426.8</v>
      </c>
      <c r="C213" s="15">
        <v>34.12</v>
      </c>
      <c r="D213" s="15">
        <v>1504</v>
      </c>
      <c r="E213" s="15">
        <v>254</v>
      </c>
      <c r="F213" s="15">
        <v>38</v>
      </c>
      <c r="G213" s="15">
        <v>38</v>
      </c>
      <c r="H213" s="15">
        <v>45119</v>
      </c>
      <c r="I213" s="15">
        <v>161955</v>
      </c>
      <c r="J213" s="15">
        <v>789.74</v>
      </c>
      <c r="K213" s="15">
        <v>6.17</v>
      </c>
      <c r="L213" s="15">
        <v>8557</v>
      </c>
      <c r="M213" s="15">
        <v>1</v>
      </c>
      <c r="N213" s="15" t="s">
        <v>47</v>
      </c>
      <c r="O213" s="15" t="s">
        <v>50</v>
      </c>
    </row>
    <row r="214" spans="1:15" x14ac:dyDescent="0.25">
      <c r="A214" s="15" t="s">
        <v>284</v>
      </c>
      <c r="B214" s="15">
        <v>428.8</v>
      </c>
      <c r="C214" s="15">
        <v>33.2</v>
      </c>
      <c r="D214" s="15">
        <v>1450</v>
      </c>
      <c r="E214" s="15">
        <v>238</v>
      </c>
      <c r="F214" s="15">
        <v>38</v>
      </c>
      <c r="G214" s="15">
        <v>38</v>
      </c>
      <c r="H214" s="15">
        <v>45434</v>
      </c>
      <c r="I214" s="15">
        <v>162799</v>
      </c>
      <c r="J214" s="15">
        <v>795.53</v>
      </c>
      <c r="K214" s="15">
        <v>4.75</v>
      </c>
      <c r="L214" s="15">
        <v>8598</v>
      </c>
      <c r="M214" s="15">
        <v>1</v>
      </c>
      <c r="N214" s="15" t="s">
        <v>66</v>
      </c>
      <c r="O214" s="15" t="s">
        <v>50</v>
      </c>
    </row>
    <row r="215" spans="1:15" x14ac:dyDescent="0.25">
      <c r="A215" s="15" t="s">
        <v>285</v>
      </c>
      <c r="B215" s="15">
        <v>430.9</v>
      </c>
      <c r="C215" s="15">
        <v>34.02</v>
      </c>
      <c r="D215" s="15">
        <v>2539</v>
      </c>
      <c r="E215" s="15">
        <v>524</v>
      </c>
      <c r="F215" s="15">
        <v>38</v>
      </c>
      <c r="G215" s="15">
        <v>38</v>
      </c>
      <c r="H215" s="15">
        <v>45561</v>
      </c>
      <c r="I215" s="15">
        <v>163631</v>
      </c>
      <c r="J215" s="15">
        <v>799.6</v>
      </c>
      <c r="K215" s="15">
        <v>3.34</v>
      </c>
      <c r="L215" s="15">
        <v>8638</v>
      </c>
      <c r="M215" s="15">
        <v>1</v>
      </c>
      <c r="N215" s="15" t="s">
        <v>59</v>
      </c>
      <c r="O215" s="15" t="s">
        <v>50</v>
      </c>
    </row>
    <row r="216" spans="1:15" x14ac:dyDescent="0.25">
      <c r="A216" s="15" t="s">
        <v>286</v>
      </c>
      <c r="B216" s="15">
        <v>432.9</v>
      </c>
      <c r="C216" s="15">
        <v>34.17</v>
      </c>
      <c r="D216" s="15">
        <v>1466</v>
      </c>
      <c r="E216" s="15">
        <v>239</v>
      </c>
      <c r="F216" s="15">
        <v>38</v>
      </c>
      <c r="G216" s="15">
        <v>38</v>
      </c>
      <c r="H216" s="15">
        <v>45787</v>
      </c>
      <c r="I216" s="15">
        <v>164492</v>
      </c>
      <c r="J216" s="15">
        <v>806.07</v>
      </c>
      <c r="K216" s="15">
        <v>5.31</v>
      </c>
      <c r="L216" s="15">
        <v>8679</v>
      </c>
      <c r="M216" s="15">
        <v>1</v>
      </c>
      <c r="N216" s="15" t="s">
        <v>47</v>
      </c>
      <c r="O216" s="15" t="s">
        <v>50</v>
      </c>
    </row>
    <row r="217" spans="1:15" x14ac:dyDescent="0.25">
      <c r="A217" s="15" t="s">
        <v>287</v>
      </c>
      <c r="B217" s="15">
        <v>434.9</v>
      </c>
      <c r="C217" s="15">
        <v>33.96</v>
      </c>
      <c r="D217" s="15">
        <v>2087</v>
      </c>
      <c r="E217" s="15">
        <v>445</v>
      </c>
      <c r="F217" s="15">
        <v>38</v>
      </c>
      <c r="G217" s="15">
        <v>38</v>
      </c>
      <c r="H217" s="15">
        <v>45940</v>
      </c>
      <c r="I217" s="15">
        <v>165294</v>
      </c>
      <c r="J217" s="15">
        <v>812.34</v>
      </c>
      <c r="K217" s="15">
        <v>5.15</v>
      </c>
      <c r="L217" s="15">
        <v>8719</v>
      </c>
      <c r="M217" s="15">
        <v>1</v>
      </c>
      <c r="N217" s="15" t="s">
        <v>76</v>
      </c>
      <c r="O217" s="15" t="s">
        <v>50</v>
      </c>
    </row>
    <row r="218" spans="1:15" x14ac:dyDescent="0.25">
      <c r="A218" s="15" t="s">
        <v>288</v>
      </c>
      <c r="B218" s="15">
        <v>437</v>
      </c>
      <c r="C218" s="15">
        <v>34.15</v>
      </c>
      <c r="D218" s="15">
        <v>2225</v>
      </c>
      <c r="E218" s="15">
        <v>415</v>
      </c>
      <c r="F218" s="15">
        <v>38</v>
      </c>
      <c r="G218" s="15">
        <v>38</v>
      </c>
      <c r="H218" s="15">
        <v>46121</v>
      </c>
      <c r="I218" s="15">
        <v>166033</v>
      </c>
      <c r="J218" s="15">
        <v>817.56</v>
      </c>
      <c r="K218" s="15">
        <v>4.28</v>
      </c>
      <c r="L218" s="15">
        <v>8760</v>
      </c>
      <c r="M218" s="15">
        <v>1</v>
      </c>
      <c r="N218" s="15" t="s">
        <v>61</v>
      </c>
      <c r="O218" s="15" t="s">
        <v>50</v>
      </c>
    </row>
    <row r="219" spans="1:15" x14ac:dyDescent="0.25">
      <c r="A219" s="15" t="s">
        <v>289</v>
      </c>
      <c r="B219" s="15">
        <v>439</v>
      </c>
      <c r="C219" s="15">
        <v>33.82</v>
      </c>
      <c r="D219" s="15">
        <v>2025</v>
      </c>
      <c r="E219" s="15">
        <v>429</v>
      </c>
      <c r="F219" s="15">
        <v>38</v>
      </c>
      <c r="G219" s="15">
        <v>38</v>
      </c>
      <c r="H219" s="15">
        <v>46321</v>
      </c>
      <c r="I219" s="15">
        <v>166814</v>
      </c>
      <c r="J219" s="15">
        <v>822.03</v>
      </c>
      <c r="K219" s="15">
        <v>3.67</v>
      </c>
      <c r="L219" s="15">
        <v>8800</v>
      </c>
      <c r="M219" s="15">
        <v>1</v>
      </c>
      <c r="N219" s="15" t="s">
        <v>61</v>
      </c>
      <c r="O219" s="15" t="s">
        <v>50</v>
      </c>
    </row>
    <row r="220" spans="1:15" x14ac:dyDescent="0.25">
      <c r="A220" s="15" t="s">
        <v>290</v>
      </c>
      <c r="B220" s="15">
        <v>441</v>
      </c>
      <c r="C220" s="15">
        <v>34.02</v>
      </c>
      <c r="D220" s="15">
        <v>1495</v>
      </c>
      <c r="E220" s="15">
        <v>252</v>
      </c>
      <c r="F220" s="15">
        <v>38</v>
      </c>
      <c r="G220" s="15">
        <v>38</v>
      </c>
      <c r="H220" s="15">
        <v>46622</v>
      </c>
      <c r="I220" s="15">
        <v>167621</v>
      </c>
      <c r="J220" s="15">
        <v>828.77</v>
      </c>
      <c r="K220" s="15">
        <v>5.54</v>
      </c>
      <c r="L220" s="15">
        <v>8841</v>
      </c>
      <c r="M220" s="15">
        <v>1</v>
      </c>
      <c r="N220" s="15" t="s">
        <v>47</v>
      </c>
      <c r="O220" s="15" t="s">
        <v>50</v>
      </c>
    </row>
    <row r="221" spans="1:15" x14ac:dyDescent="0.25">
      <c r="A221" s="15" t="s">
        <v>291</v>
      </c>
      <c r="B221" s="15">
        <v>443.1</v>
      </c>
      <c r="C221" s="15">
        <v>34.45</v>
      </c>
      <c r="D221" s="15">
        <v>1509</v>
      </c>
      <c r="E221" s="15">
        <v>252</v>
      </c>
      <c r="F221" s="15">
        <v>38</v>
      </c>
      <c r="G221" s="15">
        <v>38</v>
      </c>
      <c r="H221" s="15">
        <v>46865</v>
      </c>
      <c r="I221" s="15">
        <v>168393</v>
      </c>
      <c r="J221" s="15">
        <v>835.67</v>
      </c>
      <c r="K221" s="15">
        <v>5.66</v>
      </c>
      <c r="L221" s="15">
        <v>8882</v>
      </c>
      <c r="M221" s="15">
        <v>1</v>
      </c>
      <c r="N221" s="15" t="s">
        <v>47</v>
      </c>
      <c r="O221" s="15" t="s">
        <v>50</v>
      </c>
    </row>
    <row r="222" spans="1:15" x14ac:dyDescent="0.25">
      <c r="A222" s="15" t="s">
        <v>292</v>
      </c>
      <c r="B222" s="15">
        <v>445.1</v>
      </c>
      <c r="C222" s="15">
        <v>33.82</v>
      </c>
      <c r="D222" s="15">
        <v>2107</v>
      </c>
      <c r="E222" s="15">
        <v>262</v>
      </c>
      <c r="F222" s="15">
        <v>38</v>
      </c>
      <c r="G222" s="15">
        <v>38</v>
      </c>
      <c r="H222" s="15">
        <v>46997</v>
      </c>
      <c r="I222" s="15">
        <v>169080</v>
      </c>
      <c r="J222" s="15">
        <v>838.75</v>
      </c>
      <c r="K222" s="15">
        <v>2.53</v>
      </c>
      <c r="L222" s="15">
        <v>8922</v>
      </c>
      <c r="M222" s="15">
        <v>1</v>
      </c>
      <c r="N222" s="15" t="s">
        <v>63</v>
      </c>
      <c r="O222" s="15" t="s">
        <v>50</v>
      </c>
    </row>
    <row r="223" spans="1:15" x14ac:dyDescent="0.25">
      <c r="A223" s="15" t="s">
        <v>293</v>
      </c>
      <c r="B223" s="15">
        <v>447.1</v>
      </c>
      <c r="C223" s="15">
        <v>34.88</v>
      </c>
      <c r="D223" s="15">
        <v>3005</v>
      </c>
      <c r="E223" s="15">
        <v>851</v>
      </c>
      <c r="F223" s="15">
        <v>38</v>
      </c>
      <c r="G223" s="15">
        <v>38</v>
      </c>
      <c r="H223" s="15">
        <v>47236</v>
      </c>
      <c r="I223" s="15">
        <v>169866</v>
      </c>
      <c r="J223" s="15">
        <v>842.6</v>
      </c>
      <c r="K223" s="15">
        <v>3.16</v>
      </c>
      <c r="L223" s="15">
        <v>8963</v>
      </c>
      <c r="M223" s="15">
        <v>1</v>
      </c>
      <c r="N223" s="15" t="s">
        <v>100</v>
      </c>
      <c r="O223" s="15" t="s">
        <v>50</v>
      </c>
    </row>
    <row r="224" spans="1:15" x14ac:dyDescent="0.25">
      <c r="A224" s="15" t="s">
        <v>294</v>
      </c>
      <c r="B224" s="15">
        <v>449.1</v>
      </c>
      <c r="C224" s="15">
        <v>33.87</v>
      </c>
      <c r="D224" s="15">
        <v>2107</v>
      </c>
      <c r="E224" s="15">
        <v>262</v>
      </c>
      <c r="F224" s="15">
        <v>38</v>
      </c>
      <c r="G224" s="15">
        <v>38</v>
      </c>
      <c r="H224" s="15">
        <v>47410</v>
      </c>
      <c r="I224" s="15">
        <v>170611</v>
      </c>
      <c r="J224" s="15">
        <v>845.65</v>
      </c>
      <c r="K224" s="15">
        <v>2.51</v>
      </c>
      <c r="L224" s="15">
        <v>9003</v>
      </c>
      <c r="M224" s="15">
        <v>1</v>
      </c>
      <c r="N224" s="15" t="s">
        <v>63</v>
      </c>
      <c r="O224" s="15" t="s">
        <v>50</v>
      </c>
    </row>
    <row r="225" spans="1:15" x14ac:dyDescent="0.25">
      <c r="A225" s="15" t="s">
        <v>295</v>
      </c>
      <c r="B225" s="15">
        <v>451.2</v>
      </c>
      <c r="C225" s="15">
        <v>35.62</v>
      </c>
      <c r="D225" s="15">
        <v>3091</v>
      </c>
      <c r="E225" s="15">
        <v>819</v>
      </c>
      <c r="F225" s="15">
        <v>38</v>
      </c>
      <c r="G225" s="15">
        <v>38</v>
      </c>
      <c r="H225" s="15">
        <v>47564</v>
      </c>
      <c r="I225" s="15">
        <v>171317</v>
      </c>
      <c r="J225" s="15">
        <v>848.57</v>
      </c>
      <c r="K225" s="15">
        <v>2.4</v>
      </c>
      <c r="L225" s="15">
        <v>9044</v>
      </c>
      <c r="M225" s="15">
        <v>1</v>
      </c>
      <c r="N225" s="15" t="s">
        <v>100</v>
      </c>
      <c r="O225" s="15" t="s">
        <v>50</v>
      </c>
    </row>
    <row r="226" spans="1:15" x14ac:dyDescent="0.25">
      <c r="A226" s="15" t="s">
        <v>296</v>
      </c>
      <c r="B226" s="15">
        <v>453.2</v>
      </c>
      <c r="C226" s="15">
        <v>34.14</v>
      </c>
      <c r="D226" s="15">
        <v>2284</v>
      </c>
      <c r="E226" s="15">
        <v>474</v>
      </c>
      <c r="F226" s="15">
        <v>38</v>
      </c>
      <c r="G226" s="15">
        <v>38</v>
      </c>
      <c r="H226" s="15">
        <v>47740</v>
      </c>
      <c r="I226" s="15">
        <v>172041</v>
      </c>
      <c r="J226" s="15">
        <v>852</v>
      </c>
      <c r="K226" s="15">
        <v>2.82</v>
      </c>
      <c r="L226" s="15">
        <v>9084</v>
      </c>
      <c r="M226" s="15">
        <v>1</v>
      </c>
      <c r="N226" s="15" t="s">
        <v>59</v>
      </c>
      <c r="O226" s="15" t="s">
        <v>50</v>
      </c>
    </row>
    <row r="227" spans="1:15" x14ac:dyDescent="0.25">
      <c r="A227" s="15" t="s">
        <v>297</v>
      </c>
      <c r="B227" s="15">
        <v>455.2</v>
      </c>
      <c r="C227" s="15">
        <v>33.41</v>
      </c>
      <c r="D227" s="15">
        <v>1335</v>
      </c>
      <c r="E227" s="15">
        <v>168</v>
      </c>
      <c r="F227" s="15">
        <v>38</v>
      </c>
      <c r="G227" s="15">
        <v>38</v>
      </c>
      <c r="H227" s="15">
        <v>47918</v>
      </c>
      <c r="I227" s="15">
        <v>172759</v>
      </c>
      <c r="J227" s="15">
        <v>855.64</v>
      </c>
      <c r="K227" s="15">
        <v>3</v>
      </c>
      <c r="L227" s="15">
        <v>9124</v>
      </c>
      <c r="M227" s="15">
        <v>1</v>
      </c>
      <c r="N227" s="15" t="s">
        <v>144</v>
      </c>
      <c r="O227" s="15" t="s">
        <v>50</v>
      </c>
    </row>
    <row r="228" spans="1:15" x14ac:dyDescent="0.25">
      <c r="A228" s="15" t="s">
        <v>298</v>
      </c>
      <c r="B228" s="15">
        <v>457.2</v>
      </c>
      <c r="C228" s="15">
        <v>34</v>
      </c>
      <c r="D228" s="15">
        <v>2107</v>
      </c>
      <c r="E228" s="15">
        <v>262</v>
      </c>
      <c r="F228" s="15">
        <v>38</v>
      </c>
      <c r="G228" s="15">
        <v>38</v>
      </c>
      <c r="H228" s="15">
        <v>48092</v>
      </c>
      <c r="I228" s="15">
        <v>173470</v>
      </c>
      <c r="J228" s="15">
        <v>858.6</v>
      </c>
      <c r="K228" s="15">
        <v>2.43</v>
      </c>
      <c r="L228" s="15">
        <v>9165</v>
      </c>
      <c r="M228" s="15">
        <v>1</v>
      </c>
      <c r="N228" s="15" t="s">
        <v>63</v>
      </c>
      <c r="O228" s="15" t="s">
        <v>50</v>
      </c>
    </row>
    <row r="229" spans="1:15" x14ac:dyDescent="0.25">
      <c r="A229" s="15" t="s">
        <v>299</v>
      </c>
      <c r="B229" s="15">
        <v>459.3</v>
      </c>
      <c r="C229" s="15">
        <v>33.52</v>
      </c>
      <c r="D229" s="15">
        <v>1407</v>
      </c>
      <c r="E229" s="15">
        <v>226</v>
      </c>
      <c r="F229" s="15">
        <v>38</v>
      </c>
      <c r="G229" s="15">
        <v>38</v>
      </c>
      <c r="H229" s="15">
        <v>48327</v>
      </c>
      <c r="I229" s="15">
        <v>174233</v>
      </c>
      <c r="J229" s="15">
        <v>862.12</v>
      </c>
      <c r="K229" s="15">
        <v>2.89</v>
      </c>
      <c r="L229" s="15">
        <v>9205</v>
      </c>
      <c r="M229" s="15">
        <v>1</v>
      </c>
      <c r="N229" s="15" t="s">
        <v>66</v>
      </c>
      <c r="O229" s="15" t="s">
        <v>50</v>
      </c>
    </row>
    <row r="230" spans="1:15" x14ac:dyDescent="0.25">
      <c r="A230" s="15" t="s">
        <v>300</v>
      </c>
      <c r="B230" s="15">
        <v>461.3</v>
      </c>
      <c r="C230" s="15">
        <v>33.92</v>
      </c>
      <c r="D230" s="15">
        <v>2107</v>
      </c>
      <c r="E230" s="15">
        <v>262</v>
      </c>
      <c r="F230" s="15">
        <v>38</v>
      </c>
      <c r="G230" s="15">
        <v>38</v>
      </c>
      <c r="H230" s="15">
        <v>48574</v>
      </c>
      <c r="I230" s="15">
        <v>175175</v>
      </c>
      <c r="J230" s="15">
        <v>866.11</v>
      </c>
      <c r="K230" s="15">
        <v>3.28</v>
      </c>
      <c r="L230" s="15">
        <v>9246</v>
      </c>
      <c r="M230" s="15">
        <v>1</v>
      </c>
      <c r="N230" s="15" t="s">
        <v>63</v>
      </c>
      <c r="O230" s="15" t="s">
        <v>50</v>
      </c>
    </row>
    <row r="231" spans="1:15" x14ac:dyDescent="0.25">
      <c r="A231" s="15" t="s">
        <v>301</v>
      </c>
      <c r="B231" s="15">
        <v>463.3</v>
      </c>
      <c r="C231" s="15">
        <v>33.35</v>
      </c>
      <c r="D231" s="15">
        <v>1407</v>
      </c>
      <c r="E231" s="15">
        <v>226</v>
      </c>
      <c r="F231" s="15">
        <v>38</v>
      </c>
      <c r="G231" s="15">
        <v>38</v>
      </c>
      <c r="H231" s="15">
        <v>48783</v>
      </c>
      <c r="I231" s="15">
        <v>175967</v>
      </c>
      <c r="J231" s="15">
        <v>869.78</v>
      </c>
      <c r="K231" s="15">
        <v>3.01</v>
      </c>
      <c r="L231" s="15">
        <v>9286</v>
      </c>
      <c r="M231" s="15">
        <v>1</v>
      </c>
      <c r="N231" s="15" t="s">
        <v>66</v>
      </c>
      <c r="O231" s="15" t="s">
        <v>50</v>
      </c>
    </row>
    <row r="232" spans="1:15" x14ac:dyDescent="0.25">
      <c r="A232" s="15" t="s">
        <v>302</v>
      </c>
      <c r="B232" s="15">
        <v>465.4</v>
      </c>
      <c r="C232" s="15">
        <v>34.21</v>
      </c>
      <c r="D232" s="15">
        <v>2092</v>
      </c>
      <c r="E232" s="15">
        <v>397</v>
      </c>
      <c r="F232" s="15">
        <v>38</v>
      </c>
      <c r="G232" s="15">
        <v>38</v>
      </c>
      <c r="H232" s="15">
        <v>49060</v>
      </c>
      <c r="I232" s="15">
        <v>176796</v>
      </c>
      <c r="J232" s="15">
        <v>873.15</v>
      </c>
      <c r="K232" s="15">
        <v>2.77</v>
      </c>
      <c r="L232" s="15">
        <v>9327</v>
      </c>
      <c r="M232" s="15">
        <v>1</v>
      </c>
      <c r="N232" s="15" t="s">
        <v>83</v>
      </c>
      <c r="O232" s="15" t="s">
        <v>50</v>
      </c>
    </row>
    <row r="233" spans="1:15" x14ac:dyDescent="0.25">
      <c r="A233" s="15" t="s">
        <v>303</v>
      </c>
      <c r="B233" s="15">
        <v>467.4</v>
      </c>
      <c r="C233" s="15">
        <v>34.04</v>
      </c>
      <c r="D233" s="15">
        <v>2610</v>
      </c>
      <c r="E233" s="15">
        <v>365</v>
      </c>
      <c r="F233" s="15">
        <v>38</v>
      </c>
      <c r="G233" s="15">
        <v>38</v>
      </c>
      <c r="H233" s="15">
        <v>49184</v>
      </c>
      <c r="I233" s="15">
        <v>177504</v>
      </c>
      <c r="J233" s="15">
        <v>875.95</v>
      </c>
      <c r="K233" s="15">
        <v>2.3</v>
      </c>
      <c r="L233" s="15">
        <v>9367</v>
      </c>
      <c r="M233" s="15">
        <v>1</v>
      </c>
      <c r="N233" s="15" t="s">
        <v>54</v>
      </c>
      <c r="O233" s="15" t="s">
        <v>50</v>
      </c>
    </row>
    <row r="234" spans="1:15" x14ac:dyDescent="0.25">
      <c r="A234" s="15" t="s">
        <v>304</v>
      </c>
      <c r="B234" s="15">
        <v>469.4</v>
      </c>
      <c r="C234" s="15">
        <v>34.52</v>
      </c>
      <c r="D234" s="15">
        <v>2529</v>
      </c>
      <c r="E234" s="15">
        <v>514</v>
      </c>
      <c r="F234" s="15">
        <v>38</v>
      </c>
      <c r="G234" s="15">
        <v>38</v>
      </c>
      <c r="H234" s="15">
        <v>49349</v>
      </c>
      <c r="I234" s="15">
        <v>178229</v>
      </c>
      <c r="J234" s="15">
        <v>879.01</v>
      </c>
      <c r="K234" s="15">
        <v>2.52</v>
      </c>
      <c r="L234" s="15">
        <v>9408</v>
      </c>
      <c r="M234" s="15">
        <v>1</v>
      </c>
      <c r="N234" s="15" t="s">
        <v>59</v>
      </c>
      <c r="O234" s="15" t="s">
        <v>50</v>
      </c>
    </row>
    <row r="235" spans="1:15" x14ac:dyDescent="0.25">
      <c r="A235" s="15" t="s">
        <v>305</v>
      </c>
      <c r="B235" s="15">
        <v>471.4</v>
      </c>
      <c r="C235" s="15">
        <v>33.92</v>
      </c>
      <c r="D235" s="15">
        <v>1898</v>
      </c>
      <c r="E235" s="15">
        <v>392</v>
      </c>
      <c r="F235" s="15">
        <v>38</v>
      </c>
      <c r="G235" s="15">
        <v>38</v>
      </c>
      <c r="H235" s="15">
        <v>49646</v>
      </c>
      <c r="I235" s="15">
        <v>179059</v>
      </c>
      <c r="J235" s="15">
        <v>883.53</v>
      </c>
      <c r="K235" s="15">
        <v>3.71</v>
      </c>
      <c r="L235" s="15">
        <v>9448</v>
      </c>
      <c r="M235" s="15">
        <v>1</v>
      </c>
      <c r="N235" s="15" t="s">
        <v>76</v>
      </c>
      <c r="O235" s="15" t="s">
        <v>50</v>
      </c>
    </row>
    <row r="236" spans="1:15" x14ac:dyDescent="0.25">
      <c r="A236" s="15" t="s">
        <v>306</v>
      </c>
      <c r="B236" s="15">
        <v>473.5</v>
      </c>
      <c r="C236" s="15">
        <v>33.98</v>
      </c>
      <c r="D236" s="15">
        <v>2109</v>
      </c>
      <c r="E236" s="15">
        <v>262</v>
      </c>
      <c r="F236" s="15">
        <v>38</v>
      </c>
      <c r="G236" s="15">
        <v>38</v>
      </c>
      <c r="H236" s="15">
        <v>49843</v>
      </c>
      <c r="I236" s="15">
        <v>179766</v>
      </c>
      <c r="J236" s="15">
        <v>886.07</v>
      </c>
      <c r="K236" s="15">
        <v>2.09</v>
      </c>
      <c r="L236" s="15">
        <v>9489</v>
      </c>
      <c r="M236" s="15">
        <v>1</v>
      </c>
      <c r="N236" s="15" t="s">
        <v>63</v>
      </c>
      <c r="O236" s="15" t="s">
        <v>50</v>
      </c>
    </row>
    <row r="237" spans="1:15" x14ac:dyDescent="0.25">
      <c r="A237" s="15" t="s">
        <v>307</v>
      </c>
      <c r="B237" s="15">
        <v>475.5</v>
      </c>
      <c r="C237" s="15">
        <v>34.37</v>
      </c>
      <c r="D237" s="15">
        <v>2108</v>
      </c>
      <c r="E237" s="15">
        <v>443</v>
      </c>
      <c r="F237" s="15">
        <v>38</v>
      </c>
      <c r="G237" s="15">
        <v>38</v>
      </c>
      <c r="H237" s="15">
        <v>50117</v>
      </c>
      <c r="I237" s="15">
        <v>180508</v>
      </c>
      <c r="J237" s="15">
        <v>891.02</v>
      </c>
      <c r="K237" s="15">
        <v>4.07</v>
      </c>
      <c r="L237" s="15">
        <v>9529</v>
      </c>
      <c r="M237" s="15">
        <v>1</v>
      </c>
      <c r="N237" s="15" t="s">
        <v>76</v>
      </c>
      <c r="O237" s="15" t="s">
        <v>50</v>
      </c>
    </row>
    <row r="238" spans="1:15" x14ac:dyDescent="0.25">
      <c r="A238" s="15" t="s">
        <v>308</v>
      </c>
      <c r="B238" s="15">
        <v>477.5</v>
      </c>
      <c r="C238" s="15">
        <v>34.08</v>
      </c>
      <c r="D238" s="15">
        <v>2107</v>
      </c>
      <c r="E238" s="15">
        <v>262</v>
      </c>
      <c r="F238" s="15">
        <v>38</v>
      </c>
      <c r="G238" s="15">
        <v>38</v>
      </c>
      <c r="H238" s="15">
        <v>50245</v>
      </c>
      <c r="I238" s="15">
        <v>181144</v>
      </c>
      <c r="J238" s="15">
        <v>895.22</v>
      </c>
      <c r="K238" s="15">
        <v>3.45</v>
      </c>
      <c r="L238" s="15">
        <v>9570</v>
      </c>
      <c r="M238" s="15">
        <v>1</v>
      </c>
      <c r="N238" s="15" t="s">
        <v>63</v>
      </c>
      <c r="O238" s="15" t="s">
        <v>50</v>
      </c>
    </row>
    <row r="239" spans="1:15" x14ac:dyDescent="0.25">
      <c r="A239" s="15" t="s">
        <v>309</v>
      </c>
      <c r="B239" s="15">
        <v>479.5</v>
      </c>
      <c r="C239" s="15">
        <v>33.42</v>
      </c>
      <c r="D239" s="15">
        <v>1348</v>
      </c>
      <c r="E239" s="15">
        <v>195</v>
      </c>
      <c r="F239" s="15">
        <v>38</v>
      </c>
      <c r="G239" s="15">
        <v>38</v>
      </c>
      <c r="H239" s="15">
        <v>50438</v>
      </c>
      <c r="I239" s="15">
        <v>181979</v>
      </c>
      <c r="J239" s="15">
        <v>898.27</v>
      </c>
      <c r="K239" s="15">
        <v>2.51</v>
      </c>
      <c r="L239" s="15">
        <v>9610</v>
      </c>
      <c r="M239" s="15">
        <v>1</v>
      </c>
      <c r="N239" s="15" t="s">
        <v>93</v>
      </c>
      <c r="O239" s="15" t="s">
        <v>50</v>
      </c>
    </row>
    <row r="240" spans="1:15" x14ac:dyDescent="0.25">
      <c r="A240" s="14" t="s">
        <v>310</v>
      </c>
      <c r="B240" s="14">
        <v>480</v>
      </c>
      <c r="C240" s="14">
        <v>34.53</v>
      </c>
      <c r="D240" s="14">
        <v>1464</v>
      </c>
      <c r="E240" s="14">
        <v>236</v>
      </c>
      <c r="F240" s="14">
        <v>38</v>
      </c>
      <c r="G240" s="14">
        <v>38</v>
      </c>
      <c r="H240" s="14">
        <v>50525</v>
      </c>
      <c r="I240" s="14">
        <v>182175</v>
      </c>
      <c r="J240" s="14">
        <v>899.99</v>
      </c>
      <c r="K240" s="14">
        <v>0.68</v>
      </c>
      <c r="L240" s="14">
        <v>9620</v>
      </c>
      <c r="M240" s="14">
        <v>1</v>
      </c>
      <c r="N240" s="14" t="s">
        <v>47</v>
      </c>
      <c r="O240" s="14" t="s">
        <v>311</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6"/>
  <sheetFormatPr defaultRowHeight="15" outlineLevelRow="0" outlineLevelCol="0" x14ac:dyDescent="55"/>
  <cols>
    <col min="1" max="1" width="38" customWidth="1"/>
    <col min="2" max="3" width="20" customWidth="1"/>
    <col min="4" max="4" width="34" customWidth="1"/>
    <col min="5" max="5" width="36" customWidth="1"/>
    <col min="6" max="6" width="10" customWidth="1"/>
  </cols>
  <sheetData>
    <row r="1" spans="1:6" x14ac:dyDescent="0.25">
      <c r="A1" s="1" t="s">
        <v>0</v>
      </c>
      <c r="B1" s="1"/>
      <c r="C1" s="1"/>
      <c r="D1" s="1"/>
      <c r="E1" s="1"/>
      <c r="F1" s="1"/>
    </row>
    <row r="2" spans="1:6" x14ac:dyDescent="0.25">
      <c r="A2" s="2" t="s">
        <v>1</v>
      </c>
      <c r="B2" s="2"/>
      <c r="C2" s="2"/>
      <c r="D2" s="2"/>
      <c r="E2" s="2"/>
      <c r="F2" s="2"/>
    </row>
    <row r="4" ht="20" customHeight="1" spans="1:6" x14ac:dyDescent="0.25">
      <c r="A4" s="3" t="s">
        <v>2</v>
      </c>
      <c r="B4" s="4" t="s">
        <v>3</v>
      </c>
      <c r="C4" s="4" t="s">
        <v>4</v>
      </c>
      <c r="D4" s="4" t="s">
        <v>5</v>
      </c>
      <c r="E4" s="3" t="s">
        <v>6</v>
      </c>
      <c r="F4" s="4" t="s">
        <v>7</v>
      </c>
    </row>
    <row r="5" ht="18" customHeight="1" spans="1:6" x14ac:dyDescent="0.25">
      <c r="A5" s="5" t="s">
        <v>8</v>
      </c>
      <c r="B5" s="6">
        <f>='Samples (2-min)'!C2</f>
        <v>30.42</v>
      </c>
      <c r="C5" s="6">
        <f>='Samples (2-min)'!C240</f>
        <v>34.53</v>
      </c>
      <c r="D5" s="7" t="str">
        <f>=TEXT(C5-B5,"+0.00;-0.00")&amp;" MB / "&amp;TEXT((C5-B5)/B5,"+0.0%;-0.0%")</f>
        <v>+4.11 MB / +13.5%</v>
      </c>
      <c r="E5" s="5" t="s">
        <v>9</v>
      </c>
      <c r="F5" s="8" t="str">
        <f>=IF(OR(C5-B5&lt;=10,(C5-B5)/B5&lt;=0.1),"PASS","FAIL")</f>
        <v>PASS</v>
      </c>
    </row>
    <row r="6" ht="18" customHeight="1" spans="1:6" x14ac:dyDescent="0.25">
      <c r="A6" s="5" t="s">
        <v>10</v>
      </c>
      <c r="B6" s="6">
        <v>0.10015865603911595</v>
      </c>
      <c r="C6" s="6">
        <v>0.045564022219057226</v>
      </c>
      <c r="D6" s="7" t="s">
        <v>11</v>
      </c>
      <c r="E6" s="5" t="s">
        <v>12</v>
      </c>
      <c r="F6" s="8" t="str">
        <f>=IF(OR(B6&lt;=1,C6&lt;=1),"PASS","FAIL")</f>
        <v>PASS</v>
      </c>
    </row>
    <row r="7" ht="18" customHeight="1" spans="1:6" x14ac:dyDescent="0.25">
      <c r="A7" s="5" t="s">
        <v>13</v>
      </c>
      <c r="B7" s="9">
        <f>='Samples (2-min)'!D2</f>
        <v>1465</v>
      </c>
      <c r="C7" s="9">
        <f>='Samples (2-min)'!D240</f>
        <v>1464</v>
      </c>
      <c r="D7" s="7" t="str">
        <f>=TEXT(C7-B7,"+0;-0")&amp;" / "&amp;TEXT((C7-B7)/B7,"+0.0%;-0.0%")</f>
        <v>-1 / -0.1%</v>
      </c>
      <c r="E7" s="5" t="s">
        <v>14</v>
      </c>
      <c r="F7" s="8" t="str">
        <f>=IF(OR(C7-B7&lt;=100,(C7-B7)/B7&lt;=0.05),"PASS","FAIL")</f>
        <v>PASS</v>
      </c>
    </row>
    <row r="8" ht="18" customHeight="1" spans="1:6" x14ac:dyDescent="0.25">
      <c r="A8" s="5" t="s">
        <v>15</v>
      </c>
      <c r="B8" s="9">
        <f>='Samples (2-min)'!E2</f>
        <v>236</v>
      </c>
      <c r="C8" s="9">
        <f>='Samples (2-min)'!E240</f>
        <v>236</v>
      </c>
      <c r="D8" s="7" t="str">
        <f>=TEXT(C8-B8,"+0;-0")&amp;" / "&amp;TEXT((C8-B8)/B8,"+0.0%;-0.0%")</f>
        <v>+0 / +0.0%</v>
      </c>
      <c r="E8" s="5" t="s">
        <v>16</v>
      </c>
      <c r="F8" s="8" t="str">
        <f>=IF(OR(C8-B8&lt;=20,(C8-B8)/B8&lt;=0.05),"PASS","FAIL")</f>
        <v>PASS</v>
      </c>
    </row>
    <row r="9" ht="18" customHeight="1" spans="1:6" x14ac:dyDescent="0.25">
      <c r="A9" s="5" t="s">
        <v>17</v>
      </c>
      <c r="B9" s="7" t="s">
        <v>18</v>
      </c>
      <c r="C9" s="7" t="s">
        <v>18</v>
      </c>
      <c r="D9" s="7" t="s">
        <v>19</v>
      </c>
      <c r="E9" s="5" t="s">
        <v>20</v>
      </c>
      <c r="F9" s="8" t="str">
        <f>=IF(AND('Samples (2-min)'!F240&lt;='Samples (2-min)'!F2,'Samples (2-min)'!G240&lt;='Samples (2-min)'!G2),"PASS","FAIL")</f>
        <v>PASS</v>
      </c>
    </row>
    <row r="10" ht="18" customHeight="1" spans="1:6" x14ac:dyDescent="0.25">
      <c r="A10" s="5" t="s">
        <v>21</v>
      </c>
      <c r="B10" s="10">
        <v>0.0063</v>
      </c>
      <c r="C10" s="10">
        <v>0.0068000000000000005</v>
      </c>
      <c r="D10" s="7" t="str">
        <f>=TEXT((C10-B10)*100,"+0.00;-0.00")&amp;" percentage points"</f>
        <v>+0.05 percentage points</v>
      </c>
      <c r="E10" s="5" t="s">
        <v>22</v>
      </c>
      <c r="F10" s="8" t="str">
        <f>=IF(C10&lt;=0.05,"PASS","FAIL")</f>
        <v>PASS</v>
      </c>
    </row>
    <row r="11" ht="18" customHeight="1" spans="1:6" x14ac:dyDescent="0.25">
      <c r="A11" s="5" t="s">
        <v>23</v>
      </c>
      <c r="B11" s="9">
        <v>1117</v>
      </c>
      <c r="C11" s="9">
        <v>1163</v>
      </c>
      <c r="D11" s="7" t="str">
        <f>=TEXT((C11-B11)/B11,"+0.0%;-0.0%")</f>
        <v>+4.1%</v>
      </c>
      <c r="E11" s="5" t="s">
        <v>24</v>
      </c>
      <c r="F11" s="8" t="str">
        <f>=IF((C11-B11)/B11&lt;=0.15,"PASS","FAIL")</f>
        <v>PASS</v>
      </c>
    </row>
    <row r="12" ht="18" customHeight="1" spans="1:6" x14ac:dyDescent="0.25">
      <c r="A12" s="5" t="s">
        <v>25</v>
      </c>
      <c r="B12" s="11" t="s">
        <v>26</v>
      </c>
      <c r="C12" s="11">
        <v>1</v>
      </c>
      <c r="D12" s="7" t="s">
        <v>27</v>
      </c>
      <c r="E12" s="5" t="s">
        <v>28</v>
      </c>
      <c r="F12" s="8" t="str">
        <f>=IF(C12&gt;=0.995,"PASS","FAIL")</f>
        <v>PASS</v>
      </c>
    </row>
    <row r="14" spans="1:6" x14ac:dyDescent="0.25">
      <c r="A14" s="12" t="s">
        <v>29</v>
      </c>
      <c r="B14" s="12"/>
      <c r="C14" s="12"/>
      <c r="D14" s="12"/>
      <c r="E14" s="12"/>
      <c r="F14" s="12"/>
    </row>
    <row r="16" spans="1:6" x14ac:dyDescent="0.25">
      <c r="A16" s="2" t="s">
        <v>30</v>
      </c>
      <c r="B16" s="2"/>
      <c r="C16" s="2"/>
      <c r="D16" s="2"/>
      <c r="E16" s="2"/>
      <c r="F16" s="2"/>
    </row>
  </sheetData>
  <mergeCells count="4">
    <mergeCell ref="A1:F1"/>
    <mergeCell ref="A2:F2"/>
    <mergeCell ref="A14:F14"/>
    <mergeCell ref="A16:F16"/>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FormatPr defaultRowHeight="15" outlineLevelRow="0" outlineLevelCol="0" x14ac:dyDescent="55"/>
  <cols>
    <col min="1" max="1" width="30" customWidth="1"/>
    <col min="2" max="2" width="110" customWidth="1"/>
  </cols>
  <sheetData>
    <row r="1" spans="1:2" x14ac:dyDescent="0.25">
      <c r="A1" s="16" t="s">
        <v>312</v>
      </c>
      <c r="B1" s="17" t="s">
        <v>313</v>
      </c>
    </row>
    <row r="2" spans="1:2" x14ac:dyDescent="0.25">
      <c r="A2" s="16" t="s">
        <v>314</v>
      </c>
      <c r="B2" s="17" t="s">
        <v>315</v>
      </c>
    </row>
    <row r="3" spans="1:2" x14ac:dyDescent="0.25">
      <c r="A3" s="16" t="s">
        <v>316</v>
      </c>
      <c r="B3" s="17" t="s">
        <v>317</v>
      </c>
    </row>
    <row r="4" spans="1:2" x14ac:dyDescent="0.25">
      <c r="A4" s="16" t="s">
        <v>318</v>
      </c>
      <c r="B4" s="17" t="s">
        <v>319</v>
      </c>
    </row>
    <row r="5" spans="1:2" x14ac:dyDescent="0.25">
      <c r="A5" s="16" t="s">
        <v>320</v>
      </c>
      <c r="B5" s="17" t="s">
        <v>321</v>
      </c>
    </row>
    <row r="6" spans="1:2" x14ac:dyDescent="0.25">
      <c r="A6" s="16" t="s">
        <v>21</v>
      </c>
      <c r="B6" s="17" t="s">
        <v>322</v>
      </c>
    </row>
    <row r="7" spans="1:2" x14ac:dyDescent="0.25">
      <c r="A7" s="16" t="s">
        <v>323</v>
      </c>
      <c r="B7" s="17" t="s">
        <v>324</v>
      </c>
    </row>
    <row r="8" spans="1:2" x14ac:dyDescent="0.25">
      <c r="A8" s="16" t="s">
        <v>325</v>
      </c>
      <c r="B8" s="17" t="s">
        <v>326</v>
      </c>
    </row>
    <row r="9" spans="1:2" x14ac:dyDescent="0.25">
      <c r="A9" s="16" t="s">
        <v>327</v>
      </c>
      <c r="B9" s="17" t="s">
        <v>328</v>
      </c>
    </row>
    <row r="10" spans="1:2" x14ac:dyDescent="0.25">
      <c r="A10" s="16" t="s">
        <v>329</v>
      </c>
      <c r="B10" s="17" t="s">
        <v>330</v>
      </c>
    </row>
    <row r="11" spans="1:2" x14ac:dyDescent="0.25">
      <c r="A11" s="16" t="s">
        <v>331</v>
      </c>
      <c r="B11" s="17" t="s">
        <v>332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Samples (2-min)</vt:lpstr>
      <vt:lpstr>Method &amp; Notes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perf-soak.js</dc:creator>
  <dc:title/>
  <dc:subject/>
  <dc:description/>
  <cp:keywords/>
  <cp:category/>
  <cp:lastModifiedBy>Unknown</cp:lastModifiedBy>
  <dcterms:created xsi:type="dcterms:W3CDTF">2026-09-27T16:02:58Z</dcterms:created>
  <dcterms:modified xsi:type="dcterms:W3CDTF">2026-09-27T16:02:58Z</dcterms:modified>
</cp:coreProperties>
</file>