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0"/>
  </bookViews>
  <sheets>
    <sheet sheetId="2" name="Summary" state="visible" r:id="rId4"/>
    <sheet sheetId="1" name="Samples (2-min)" state="visible" r:id="rId5"/>
    <sheet sheetId="3" name="Method &amp; Notes" state="visible" r:id="rId6"/>
  </sheets>
  <calcPr calcId="171027"/>
</workbook>
</file>

<file path=xl/sharedStrings.xml><?xml version="1.0" encoding="utf-8"?>
<sst xmlns="http://schemas.openxmlformats.org/spreadsheetml/2006/main" count="166" uniqueCount="114">
  <si>
    <t>MDCS soak test 2026-09-23 (cold start) — results</t>
  </si>
  <si>
    <t>Soak: 60 min continuous Auto Click from a cold start (T0 = freshly signed-in dashboard, no warm-up) · sampled every 2 min · T0 and T+1h are like-for-like readings on /mdcs/dashboard after forced GC (see Method &amp; Notes)</t>
  </si>
  <si>
    <t>Metric</t>
  </si>
  <si>
    <t>T0 Baseline</t>
  </si>
  <si>
    <t>T+1h</t>
  </si>
  <si>
    <t>Change T0 → T+1h</t>
  </si>
  <si>
    <t>Limit</t>
  </si>
  <si>
    <t>Result</t>
  </si>
  <si>
    <t>Post-GC JS Heap (MB)</t>
  </si>
  <si>
    <t>≤ +10 MB or +10%</t>
  </si>
  <si>
    <t>Heap Slope / Trend (MB per 10 cycles)</t>
  </si>
  <si>
    <t>whole run 1.33 → second half 0.39 MB/10 cycles; range 28.5–32.8 MB</t>
  </si>
  <si>
    <t>≤ 1 MB / 10 cycles, or a bounded plateau</t>
  </si>
  <si>
    <t>DOM Nodes</t>
  </si>
  <si>
    <t>≤ +100 or +5%</t>
  </si>
  <si>
    <t>Event Listeners</t>
  </si>
  <si>
    <t>≤ +20 or +5%</t>
  </si>
  <si>
    <t>Documents / Frames</t>
  </si>
  <si>
    <t>38 / 38</t>
  </si>
  <si>
    <t>+0 / +0</t>
  </si>
  <si>
    <t>No increase</t>
  </si>
  <si>
    <t>Idle CPU</t>
  </si>
  <si>
    <t>≤ 5%</t>
  </si>
  <si>
    <t>Median Cycle Runtime (ms CPU / cycle)</t>
  </si>
  <si>
    <t>≤ +15%</t>
  </si>
  <si>
    <t>Automation Reliability</t>
  </si>
  <si>
    <t>—</t>
  </si>
  <si>
    <t>0 stall(s), 0 continuity break(s), 1168 clicks</t>
  </si>
  <si>
    <t>≥ 99.5%</t>
  </si>
  <si>
    <t>OVERALL: all standards met.</t>
  </si>
  <si>
    <t>T0 and T+1h pull from the Samples sheet (bold rows); change and result cells are formulas, so editing a sample updates them.</t>
  </si>
  <si>
    <t>Time (UTC)</t>
  </si>
  <si>
    <t>Elapsed (min)</t>
  </si>
  <si>
    <t>JS heap (MB)</t>
  </si>
  <si>
    <t>Nodes</t>
  </si>
  <si>
    <t>Listeners</t>
  </si>
  <si>
    <t>Documents</t>
  </si>
  <si>
    <t>Frames</t>
  </si>
  <si>
    <t>Layouts</t>
  </si>
  <si>
    <t>Style recalcs</t>
  </si>
  <si>
    <t>Task duration (s)</t>
  </si>
  <si>
    <t>CPU % since last</t>
  </si>
  <si>
    <t>Clicks</t>
  </si>
  <si>
    <t>Tabs</t>
  </si>
  <si>
    <t>URL</t>
  </si>
  <si>
    <t>Note</t>
  </si>
  <si>
    <t>2026-09-23T05:24:36.743Z</t>
  </si>
  <si>
    <t>http://localhost:8035/mdcs/dashboard</t>
  </si>
  <si>
    <t>controlled-baseline (idle cpu)</t>
  </si>
  <si>
    <t>2026-09-23T05:26:49.412Z</t>
  </si>
  <si>
    <t/>
  </si>
  <si>
    <t>http://localhost:8035/mdcs/parameter-trial/end-trial</t>
  </si>
  <si>
    <t>2026-09-23T05:28:51.672Z</t>
  </si>
  <si>
    <t>2026-09-23T05:30:53.956Z</t>
  </si>
  <si>
    <t>2026-09-23T05:32:55.380Z</t>
  </si>
  <si>
    <t>http://localhost:8035/mdcs/event-history</t>
  </si>
  <si>
    <t>2026-09-23T05:34:57.645Z</t>
  </si>
  <si>
    <t>http://localhost:8035/mdcs/maintenance/eod-process</t>
  </si>
  <si>
    <t>2026-09-23T05:36:59.942Z</t>
  </si>
  <si>
    <t>2026-09-23T05:39:01.372Z</t>
  </si>
  <si>
    <t>http://localhost:8035/mdcs/parameter-trial/parameter-version-summary</t>
  </si>
  <si>
    <t>2026-09-23T05:41:03.665Z</t>
  </si>
  <si>
    <t>http://localhost:8035/mdcs/parameter-viewer</t>
  </si>
  <si>
    <t>2026-09-23T05:43:06.033Z</t>
  </si>
  <si>
    <t>http://localhost:8035/mdcs/bus-transfer</t>
  </si>
  <si>
    <t>2026-09-23T05:45:07.460Z</t>
  </si>
  <si>
    <t>2026-09-23T05:47:09.798Z</t>
  </si>
  <si>
    <t>http://localhost:8035/mdcs/bus-list</t>
  </si>
  <si>
    <t>2026-09-23T05:49:12.079Z</t>
  </si>
  <si>
    <t>2026-09-23T05:51:13.500Z</t>
  </si>
  <si>
    <t>http://localhost:8035/mdcs/parameter-trial/approval</t>
  </si>
  <si>
    <t>2026-09-23T05:53:15.873Z</t>
  </si>
  <si>
    <t>http://localhost:8035/mdcs/notification-centre</t>
  </si>
  <si>
    <t>2026-09-23T05:55:18.284Z</t>
  </si>
  <si>
    <t>2026-09-23T05:57:19.704Z</t>
  </si>
  <si>
    <t>2026-09-23T05:59:22.100Z</t>
  </si>
  <si>
    <t>http://localhost:8035/mdcs/dagw-parameter</t>
  </si>
  <si>
    <t>2026-09-23T06:01:24.490Z</t>
  </si>
  <si>
    <t>2026-09-23T06:03:25.936Z</t>
  </si>
  <si>
    <t>2026-09-23T06:05:28.391Z</t>
  </si>
  <si>
    <t>http://localhost:8035/mdcs/maintenance/system-information</t>
  </si>
  <si>
    <t>2026-09-23T06:07:30.918Z</t>
  </si>
  <si>
    <t>2026-09-23T06:09:32.351Z</t>
  </si>
  <si>
    <t>2026-09-23T06:11:34.831Z</t>
  </si>
  <si>
    <t>2026-09-23T06:13:37.327Z</t>
  </si>
  <si>
    <t>2026-09-23T06:15:38.765Z</t>
  </si>
  <si>
    <t>2026-09-23T06:17:41.315Z</t>
  </si>
  <si>
    <t>2026-09-23T06:19:43.417Z</t>
  </si>
  <si>
    <t>2026-09-23T06:21:45.553Z</t>
  </si>
  <si>
    <t>2026-09-23T06:23:47.028Z</t>
  </si>
  <si>
    <t>2026-09-23T06:25:49.220Z</t>
  </si>
  <si>
    <t>2026-09-23T06:27:11.273Z</t>
  </si>
  <si>
    <t>controlled-final (idle cpu)</t>
  </si>
  <si>
    <t>Procedure</t>
  </si>
  <si>
    <t>pnpm start:dummy + pnpm server:mdcs + pnpm ws:mdcs → sign in as supervisor/SBST → enable Auto Click → sample every 2 min for the duration. Driven by src/tools/perf-soak.js against headless Chrome.</t>
  </si>
  <si>
    <t>Metric source</t>
  </si>
  <si>
    <t>Chrome's Performance.getMetrics over CDP — the same counters the DevTools Performance Monitor panel renders (JSHeapUsedSize, Nodes, JSEventListeners, Documents, Frames, TaskDuration).</t>
  </si>
  <si>
    <t>Post-GC</t>
  </si>
  <si>
    <t>Every reading is taken after 3 rounds of HeapProfiler.collectGarbage + gc({type:"major"}). One round leaves hundreds of nodes uncollected, because Blink's node counter spans V8 and Oilpan and cross-heap wrappers take several cycles to free.</t>
  </si>
  <si>
    <t>Warm-up</t>
  </si>
  <si>
    <t>None. T0 is read on the dashboard straight after sign-in, exactly as in the manual procedure, so every first-use cost (V8 JIT code, Angular template metadata) falls inside the measured hour. The app loads its full SVG icon set at startup (SvgIconCacheService), so Documents/Frames are fixed from the first reading rather than growing as pages are visited.</t>
  </si>
  <si>
    <t>Like-for-like T0 / T+1h</t>
  </si>
  <si>
    <t>Nodes and Documents/Frames swing by hundreds depending on which route is mounted, so both readings are taken on /mdcs/dashboard, reached by in-app navigation, with Auto Click off and after forced GC. The 2-min samples are taken wherever the clicker happens to be and show the in-soak trend.</t>
  </si>
  <si>
    <t>Main-thread TaskDuration over a 10 s window with Auto Click off, on the dashboard, immediately before each controlled reading.</t>
  </si>
  <si>
    <t>Heap slope</t>
  </si>
  <si>
    <t>Least-squares slope of post-GC heap across the in-soak samples; one cycle = one 2-min sample, so the figure is MB per 20 min. Whole run 1.33, second half 0.39. Passing on the second half means the heap climbed while V8 compiled the app's code and Angular built each screen's metadata, then held flat — a bounded plateau rather than ongoing growth.</t>
  </si>
  <si>
    <t>Median cycle runtime</t>
  </si>
  <si>
    <t>One cycle is a fixed in-app loop through 9 routes (/mdcs/bus-operation, /mdcs/bus-list, /mdcs/bus-transfer, /mdcs/report/daily-report/daily-bus-list-report, /mdcs/parameter-viewer, /mdcs/maintenance/audit-log, /mdcs/parameter-trial/parameter-mode, /mdcs/event-history, /mdcs/dashboard), run 5× right after the T0 reading and 5× right after the T+1h reading; the row compares median main-thread CPU per cycle. T0 runs (ms): 1693, 1291, 1204, 1261, 1068. T+1h runs (ms): 1417, 1236, 1225, 1247, 1119. A fixed loop is used because a random auto-click costs anywhere from ~50 to ~170 ms depending on the page it lands on, so comparing random intervals measures the page mix rather than the app.</t>
  </si>
  <si>
    <t>Tab visibility</t>
  </si>
  <si>
    <t>The page must stay the visible, foreground tab: a hidden tab gets no animation frames, so rAF callbacks and CSS animations are never serviced and everything they reference piles up. The harness checks every 20 s and logs any hidden period in the Note column; the auto-clicker skips controls that open a new tab (DAMS, target=_blank links).</t>
  </si>
  <si>
    <t>Automation reliability</t>
  </si>
  <si>
    <t>Share of soak time the clicker was actively ticking. A watchdog checks every 20 s; a stall (no ticks for 30 s+) costs at most 60 s and is re-armed. Any session loss (page reload) is a continuity break and fails this row.</t>
  </si>
  <si>
    <t>Run</t>
  </si>
  <si>
    <t>Stalls: 0. Continuity breaks: 0. Total auto-clicks: 1168. In-soak samples: 30. Source CSV: verify-60m.csv.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</si>
</sst>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sz val="14"/>
      <name val="Arial"/>
    </font>
    <font>
      <i/>
      <color rgb="FF57706C"/>
      <sz val="10"/>
      <name val="Arial"/>
    </font>
    <font>
      <b/>
      <color rgb="FFFFFFFF"/>
      <sz val="10"/>
      <name val="Arial"/>
    </font>
    <font>
      <sz val="10"/>
      <name val="Arial"/>
    </font>
    <font>
      <b/>
      <sz val="10"/>
      <name val="Arial"/>
    </font>
    <font>
      <b/>
      <sz val="11"/>
      <name val="Arial"/>
    </font>
  </fonts>
  <fills count="4">
    <fill>
      <patternFill patternType="none"/>
    </fill>
    <fill>
      <patternFill patternType="gray125"/>
    </fill>
    <fill>
      <patternFill patternType="solid">
        <fgColor rgb="FF1F4E5F"/>
      </patternFill>
    </fill>
    <fill>
      <patternFill patternType="solid">
        <fgColor rgb="FFE3F2E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4" fillId="0" borderId="1" xfId="0" applyFont="1" applyBorder="1" applyAlignment="1">
      <alignment horizontal="left" vertical="center"/>
    </xf>
    <xf numFmtId="2"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5" fillId="3" borderId="1" xfId="0" applyFont="1" applyFill="1" applyBorder="1" applyAlignment="1">
      <alignment horizontal="center" vertical="center"/>
    </xf>
    <xf numFmtId="1" fontId="4" fillId="0" borderId="1" xfId="0" applyNumberFormat="1" applyFont="1" applyBorder="1" applyAlignment="1">
      <alignment horizontal="center" vertical="center"/>
    </xf>
    <xf numFmtId="10" fontId="4" fillId="0" borderId="1" xfId="0" applyNumberFormat="1" applyFont="1" applyBorder="1" applyAlignment="1">
      <alignment horizontal="center" vertical="center"/>
    </xf>
    <xf numFmtId="164" fontId="4" fillId="0" borderId="1" xfId="0" applyNumberFormat="1" applyFont="1" applyBorder="1" applyAlignment="1">
      <alignment horizontal="center" vertical="center"/>
    </xf>
    <xf numFmtId="0" fontId="6" fillId="3" borderId="0" xfId="0" applyFont="1" applyFill="1"/>
    <xf numFmtId="0" fontId="3" fillId="2" borderId="1" xfId="0" applyFont="1" applyFill="1" applyBorder="1"/>
    <xf numFmtId="0" fontId="5" fillId="0" borderId="1" xfId="0" applyFont="1" applyBorder="1"/>
    <xf numFmtId="0" fontId="4" fillId="0" borderId="1" xfId="0" applyFont="1" applyBorder="1"/>
    <xf numFmtId="0" fontId="5" fillId="0" borderId="0" xfId="0" applyFont="1" applyAlignment="1">
      <alignment vertical="top"/>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1.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3" width="13" customWidth="1"/>
    <col min="5" max="6" width="11" customWidth="1"/>
    <col min="8" max="8" width="10" customWidth="1"/>
    <col min="9" max="9" width="14" customWidth="1"/>
    <col min="10" max="11" width="16" customWidth="1"/>
    <col min="13" max="13" width="7" customWidth="1"/>
    <col min="14" max="14" width="46" customWidth="1"/>
    <col min="15" max="15" width="40" customWidth="1"/>
  </cols>
  <sheetData>
    <row r="1" spans="1:15" x14ac:dyDescent="0.25">
      <c r="A1" s="13" t="s">
        <v>31</v>
      </c>
      <c r="B1" s="13" t="s">
        <v>32</v>
      </c>
      <c r="C1" s="13" t="s">
        <v>33</v>
      </c>
      <c r="D1" s="13" t="s">
        <v>34</v>
      </c>
      <c r="E1" s="13" t="s">
        <v>35</v>
      </c>
      <c r="F1" s="13" t="s">
        <v>36</v>
      </c>
      <c r="G1" s="13" t="s">
        <v>37</v>
      </c>
      <c r="H1" s="13" t="s">
        <v>38</v>
      </c>
      <c r="I1" s="13" t="s">
        <v>39</v>
      </c>
      <c r="J1" s="13" t="s">
        <v>40</v>
      </c>
      <c r="K1" s="13" t="s">
        <v>41</v>
      </c>
      <c r="L1" s="13" t="s">
        <v>42</v>
      </c>
      <c r="M1" s="13" t="s">
        <v>43</v>
      </c>
      <c r="N1" s="13" t="s">
        <v>44</v>
      </c>
      <c r="O1" s="13" t="s">
        <v>45</v>
      </c>
    </row>
    <row r="2" spans="1:15" x14ac:dyDescent="0.25">
      <c r="A2" s="14" t="s">
        <v>46</v>
      </c>
      <c r="B2" s="14">
        <v>0</v>
      </c>
      <c r="C2" s="14">
        <v>22.62</v>
      </c>
      <c r="D2" s="14">
        <v>1432</v>
      </c>
      <c r="E2" s="14">
        <v>235</v>
      </c>
      <c r="F2" s="14">
        <v>38</v>
      </c>
      <c r="G2" s="14">
        <v>38</v>
      </c>
      <c r="H2" s="14">
        <v>44</v>
      </c>
      <c r="I2" s="14">
        <v>58</v>
      </c>
      <c r="J2" s="14">
        <v>1.68</v>
      </c>
      <c r="K2" s="14">
        <v>0.55</v>
      </c>
      <c r="L2" s="14">
        <v>0</v>
      </c>
      <c r="M2" s="14">
        <v>1</v>
      </c>
      <c r="N2" s="14" t="s">
        <v>47</v>
      </c>
      <c r="O2" s="14" t="s">
        <v>48</v>
      </c>
    </row>
    <row r="3" spans="1:15" x14ac:dyDescent="0.25">
      <c r="A3" s="15" t="s">
        <v>49</v>
      </c>
      <c r="B3" s="15">
        <v>0</v>
      </c>
      <c r="C3" s="15">
        <v>28.78</v>
      </c>
      <c r="D3" s="15">
        <v>2135</v>
      </c>
      <c r="E3" s="15">
        <v>463</v>
      </c>
      <c r="F3" s="15">
        <v>38</v>
      </c>
      <c r="G3" s="15">
        <v>38</v>
      </c>
      <c r="H3" s="15">
        <v>399</v>
      </c>
      <c r="I3" s="15">
        <v>1029</v>
      </c>
      <c r="J3" s="15">
        <v>16.26</v>
      </c>
      <c r="K3" s="15" t="s">
        <v>50</v>
      </c>
      <c r="L3" s="15">
        <v>3</v>
      </c>
      <c r="M3" s="15">
        <v>1</v>
      </c>
      <c r="N3" s="15" t="s">
        <v>51</v>
      </c>
      <c r="O3" s="15" t="s">
        <v>50</v>
      </c>
    </row>
    <row r="4" spans="1:15" x14ac:dyDescent="0.25">
      <c r="A4" s="15" t="s">
        <v>52</v>
      </c>
      <c r="B4" s="15">
        <v>2.1</v>
      </c>
      <c r="C4" s="15">
        <v>28.53</v>
      </c>
      <c r="D4" s="15">
        <v>1452</v>
      </c>
      <c r="E4" s="15">
        <v>236</v>
      </c>
      <c r="F4" s="15">
        <v>38</v>
      </c>
      <c r="G4" s="15">
        <v>38</v>
      </c>
      <c r="H4" s="15">
        <v>570</v>
      </c>
      <c r="I4" s="15">
        <v>1619</v>
      </c>
      <c r="J4" s="15">
        <v>20.05</v>
      </c>
      <c r="K4" s="15">
        <v>3.09</v>
      </c>
      <c r="L4" s="15">
        <v>42</v>
      </c>
      <c r="M4" s="15">
        <v>1</v>
      </c>
      <c r="N4" s="15" t="s">
        <v>47</v>
      </c>
      <c r="O4" s="15" t="s">
        <v>50</v>
      </c>
    </row>
    <row r="5" spans="1:15" x14ac:dyDescent="0.25">
      <c r="A5" s="15" t="s">
        <v>53</v>
      </c>
      <c r="B5" s="15">
        <v>4.1</v>
      </c>
      <c r="C5" s="15">
        <v>29.06</v>
      </c>
      <c r="D5" s="15">
        <v>1513</v>
      </c>
      <c r="E5" s="15">
        <v>256</v>
      </c>
      <c r="F5" s="15">
        <v>38</v>
      </c>
      <c r="G5" s="15">
        <v>38</v>
      </c>
      <c r="H5" s="15">
        <v>735</v>
      </c>
      <c r="I5" s="15">
        <v>2189</v>
      </c>
      <c r="J5" s="15">
        <v>22.6</v>
      </c>
      <c r="K5" s="15">
        <v>2.08</v>
      </c>
      <c r="L5" s="15">
        <v>82</v>
      </c>
      <c r="M5" s="15">
        <v>1</v>
      </c>
      <c r="N5" s="15" t="s">
        <v>47</v>
      </c>
      <c r="O5" s="15" t="s">
        <v>50</v>
      </c>
    </row>
    <row r="6" spans="1:15" x14ac:dyDescent="0.25">
      <c r="A6" s="15" t="s">
        <v>54</v>
      </c>
      <c r="B6" s="15">
        <v>6.1</v>
      </c>
      <c r="C6" s="15">
        <v>29.13</v>
      </c>
      <c r="D6" s="15">
        <v>2139</v>
      </c>
      <c r="E6" s="15">
        <v>278</v>
      </c>
      <c r="F6" s="15">
        <v>38</v>
      </c>
      <c r="G6" s="15">
        <v>38</v>
      </c>
      <c r="H6" s="15">
        <v>976</v>
      </c>
      <c r="I6" s="15">
        <v>2824</v>
      </c>
      <c r="J6" s="15">
        <v>25.29</v>
      </c>
      <c r="K6" s="15">
        <v>2.22</v>
      </c>
      <c r="L6" s="15">
        <v>121</v>
      </c>
      <c r="M6" s="15">
        <v>1</v>
      </c>
      <c r="N6" s="15" t="s">
        <v>55</v>
      </c>
      <c r="O6" s="15" t="s">
        <v>50</v>
      </c>
    </row>
    <row r="7" spans="1:15" x14ac:dyDescent="0.25">
      <c r="A7" s="15" t="s">
        <v>56</v>
      </c>
      <c r="B7" s="15">
        <v>8.2</v>
      </c>
      <c r="C7" s="15">
        <v>29.37</v>
      </c>
      <c r="D7" s="15">
        <v>1323</v>
      </c>
      <c r="E7" s="15">
        <v>185</v>
      </c>
      <c r="F7" s="15">
        <v>38</v>
      </c>
      <c r="G7" s="15">
        <v>38</v>
      </c>
      <c r="H7" s="15">
        <v>1183</v>
      </c>
      <c r="I7" s="15">
        <v>3523</v>
      </c>
      <c r="J7" s="15">
        <v>27.68</v>
      </c>
      <c r="K7" s="15">
        <v>1.95</v>
      </c>
      <c r="L7" s="15">
        <v>161</v>
      </c>
      <c r="M7" s="15">
        <v>1</v>
      </c>
      <c r="N7" s="15" t="s">
        <v>57</v>
      </c>
      <c r="O7" s="15" t="s">
        <v>50</v>
      </c>
    </row>
    <row r="8" spans="1:15" x14ac:dyDescent="0.25">
      <c r="A8" s="15" t="s">
        <v>58</v>
      </c>
      <c r="B8" s="15">
        <v>10.2</v>
      </c>
      <c r="C8" s="15">
        <v>30.71</v>
      </c>
      <c r="D8" s="15">
        <v>1464</v>
      </c>
      <c r="E8" s="15">
        <v>236</v>
      </c>
      <c r="F8" s="15">
        <v>38</v>
      </c>
      <c r="G8" s="15">
        <v>38</v>
      </c>
      <c r="H8" s="15">
        <v>1511</v>
      </c>
      <c r="I8" s="15">
        <v>4273</v>
      </c>
      <c r="J8" s="15">
        <v>32.37</v>
      </c>
      <c r="K8" s="15">
        <v>3.83</v>
      </c>
      <c r="L8" s="15">
        <v>200</v>
      </c>
      <c r="M8" s="15">
        <v>1</v>
      </c>
      <c r="N8" s="15" t="s">
        <v>47</v>
      </c>
      <c r="O8" s="15" t="s">
        <v>50</v>
      </c>
    </row>
    <row r="9" spans="1:15" x14ac:dyDescent="0.25">
      <c r="A9" s="15" t="s">
        <v>59</v>
      </c>
      <c r="B9" s="15">
        <v>12.2</v>
      </c>
      <c r="C9" s="15">
        <v>31.14</v>
      </c>
      <c r="D9" s="15">
        <v>2094</v>
      </c>
      <c r="E9" s="15">
        <v>400</v>
      </c>
      <c r="F9" s="15">
        <v>38</v>
      </c>
      <c r="G9" s="15">
        <v>38</v>
      </c>
      <c r="H9" s="15">
        <v>1720</v>
      </c>
      <c r="I9" s="15">
        <v>5027</v>
      </c>
      <c r="J9" s="15">
        <v>35.82</v>
      </c>
      <c r="K9" s="15">
        <v>2.84</v>
      </c>
      <c r="L9" s="15">
        <v>240</v>
      </c>
      <c r="M9" s="15">
        <v>1</v>
      </c>
      <c r="N9" s="15" t="s">
        <v>60</v>
      </c>
      <c r="O9" s="15" t="s">
        <v>50</v>
      </c>
    </row>
    <row r="10" spans="1:15" x14ac:dyDescent="0.25">
      <c r="A10" s="15" t="s">
        <v>61</v>
      </c>
      <c r="B10" s="15">
        <v>14.3</v>
      </c>
      <c r="C10" s="15">
        <v>30.48</v>
      </c>
      <c r="D10" s="15">
        <v>1441</v>
      </c>
      <c r="E10" s="15">
        <v>236</v>
      </c>
      <c r="F10" s="15">
        <v>38</v>
      </c>
      <c r="G10" s="15">
        <v>38</v>
      </c>
      <c r="H10" s="15">
        <v>1876</v>
      </c>
      <c r="I10" s="15">
        <v>5750</v>
      </c>
      <c r="J10" s="15">
        <v>38.45</v>
      </c>
      <c r="K10" s="15">
        <v>2.15</v>
      </c>
      <c r="L10" s="15">
        <v>279</v>
      </c>
      <c r="M10" s="15">
        <v>1</v>
      </c>
      <c r="N10" s="15" t="s">
        <v>62</v>
      </c>
      <c r="O10" s="15" t="s">
        <v>50</v>
      </c>
    </row>
    <row r="11" spans="1:15" x14ac:dyDescent="0.25">
      <c r="A11" s="15" t="s">
        <v>63</v>
      </c>
      <c r="B11" s="15">
        <v>16.3</v>
      </c>
      <c r="C11" s="15">
        <v>31.28</v>
      </c>
      <c r="D11" s="15">
        <v>2529</v>
      </c>
      <c r="E11" s="15">
        <v>514</v>
      </c>
      <c r="F11" s="15">
        <v>38</v>
      </c>
      <c r="G11" s="15">
        <v>38</v>
      </c>
      <c r="H11" s="15">
        <v>2057</v>
      </c>
      <c r="I11" s="15">
        <v>6394</v>
      </c>
      <c r="J11" s="15">
        <v>40.93</v>
      </c>
      <c r="K11" s="15">
        <v>2.02</v>
      </c>
      <c r="L11" s="15">
        <v>319</v>
      </c>
      <c r="M11" s="15">
        <v>1</v>
      </c>
      <c r="N11" s="15" t="s">
        <v>64</v>
      </c>
      <c r="O11" s="15" t="s">
        <v>50</v>
      </c>
    </row>
    <row r="12" spans="1:15" x14ac:dyDescent="0.25">
      <c r="A12" s="15" t="s">
        <v>65</v>
      </c>
      <c r="B12" s="15">
        <v>18.3</v>
      </c>
      <c r="C12" s="15">
        <v>31.55</v>
      </c>
      <c r="D12" s="15">
        <v>1464</v>
      </c>
      <c r="E12" s="15">
        <v>236</v>
      </c>
      <c r="F12" s="15">
        <v>38</v>
      </c>
      <c r="G12" s="15">
        <v>38</v>
      </c>
      <c r="H12" s="15">
        <v>2220</v>
      </c>
      <c r="I12" s="15">
        <v>6828</v>
      </c>
      <c r="J12" s="15">
        <v>44.75</v>
      </c>
      <c r="K12" s="15">
        <v>3.15</v>
      </c>
      <c r="L12" s="15">
        <v>358</v>
      </c>
      <c r="M12" s="15">
        <v>1</v>
      </c>
      <c r="N12" s="15" t="s">
        <v>47</v>
      </c>
      <c r="O12" s="15" t="s">
        <v>50</v>
      </c>
    </row>
    <row r="13" spans="1:15" x14ac:dyDescent="0.25">
      <c r="A13" s="15" t="s">
        <v>66</v>
      </c>
      <c r="B13" s="15">
        <v>20.4</v>
      </c>
      <c r="C13" s="15">
        <v>31.53</v>
      </c>
      <c r="D13" s="15">
        <v>2065</v>
      </c>
      <c r="E13" s="15">
        <v>370</v>
      </c>
      <c r="F13" s="15">
        <v>38</v>
      </c>
      <c r="G13" s="15">
        <v>38</v>
      </c>
      <c r="H13" s="15">
        <v>2386</v>
      </c>
      <c r="I13" s="15">
        <v>7467</v>
      </c>
      <c r="J13" s="15">
        <v>47.05</v>
      </c>
      <c r="K13" s="15">
        <v>1.88</v>
      </c>
      <c r="L13" s="15">
        <v>398</v>
      </c>
      <c r="M13" s="15">
        <v>1</v>
      </c>
      <c r="N13" s="15" t="s">
        <v>67</v>
      </c>
      <c r="O13" s="15" t="s">
        <v>50</v>
      </c>
    </row>
    <row r="14" spans="1:15" x14ac:dyDescent="0.25">
      <c r="A14" s="15" t="s">
        <v>68</v>
      </c>
      <c r="B14" s="15">
        <v>22.4</v>
      </c>
      <c r="C14" s="15">
        <v>32.54</v>
      </c>
      <c r="D14" s="15">
        <v>2577</v>
      </c>
      <c r="E14" s="15">
        <v>526</v>
      </c>
      <c r="F14" s="15">
        <v>38</v>
      </c>
      <c r="G14" s="15">
        <v>38</v>
      </c>
      <c r="H14" s="15">
        <v>2676</v>
      </c>
      <c r="I14" s="15">
        <v>8125</v>
      </c>
      <c r="J14" s="15">
        <v>51.07</v>
      </c>
      <c r="K14" s="15">
        <v>3.29</v>
      </c>
      <c r="L14" s="15">
        <v>438</v>
      </c>
      <c r="M14" s="15">
        <v>1</v>
      </c>
      <c r="N14" s="15" t="s">
        <v>64</v>
      </c>
      <c r="O14" s="15" t="s">
        <v>50</v>
      </c>
    </row>
    <row r="15" spans="1:15" x14ac:dyDescent="0.25">
      <c r="A15" s="15" t="s">
        <v>69</v>
      </c>
      <c r="B15" s="15">
        <v>24.4</v>
      </c>
      <c r="C15" s="15">
        <v>31.96</v>
      </c>
      <c r="D15" s="15">
        <v>2037</v>
      </c>
      <c r="E15" s="15">
        <v>425</v>
      </c>
      <c r="F15" s="15">
        <v>38</v>
      </c>
      <c r="G15" s="15">
        <v>38</v>
      </c>
      <c r="H15" s="15">
        <v>2873</v>
      </c>
      <c r="I15" s="15">
        <v>8808</v>
      </c>
      <c r="J15" s="15">
        <v>53.85</v>
      </c>
      <c r="K15" s="15">
        <v>2.28</v>
      </c>
      <c r="L15" s="15">
        <v>477</v>
      </c>
      <c r="M15" s="15">
        <v>1</v>
      </c>
      <c r="N15" s="15" t="s">
        <v>70</v>
      </c>
      <c r="O15" s="15" t="s">
        <v>50</v>
      </c>
    </row>
    <row r="16" spans="1:15" x14ac:dyDescent="0.25">
      <c r="A16" s="15" t="s">
        <v>71</v>
      </c>
      <c r="B16" s="15">
        <v>26.5</v>
      </c>
      <c r="C16" s="15">
        <v>31.43</v>
      </c>
      <c r="D16" s="15">
        <v>1378</v>
      </c>
      <c r="E16" s="15">
        <v>173</v>
      </c>
      <c r="F16" s="15">
        <v>38</v>
      </c>
      <c r="G16" s="15">
        <v>38</v>
      </c>
      <c r="H16" s="15">
        <v>3014</v>
      </c>
      <c r="I16" s="15">
        <v>9452</v>
      </c>
      <c r="J16" s="15">
        <v>56.9</v>
      </c>
      <c r="K16" s="15">
        <v>2.49</v>
      </c>
      <c r="L16" s="15">
        <v>517</v>
      </c>
      <c r="M16" s="15">
        <v>1</v>
      </c>
      <c r="N16" s="15" t="s">
        <v>72</v>
      </c>
      <c r="O16" s="15" t="s">
        <v>50</v>
      </c>
    </row>
    <row r="17" spans="1:15" x14ac:dyDescent="0.25">
      <c r="A17" s="15" t="s">
        <v>73</v>
      </c>
      <c r="B17" s="15">
        <v>28.5</v>
      </c>
      <c r="C17" s="15">
        <v>32.02</v>
      </c>
      <c r="D17" s="15">
        <v>2151</v>
      </c>
      <c r="E17" s="15">
        <v>281</v>
      </c>
      <c r="F17" s="15">
        <v>38</v>
      </c>
      <c r="G17" s="15">
        <v>38</v>
      </c>
      <c r="H17" s="15">
        <v>3174</v>
      </c>
      <c r="I17" s="15">
        <v>10142</v>
      </c>
      <c r="J17" s="15">
        <v>59.27</v>
      </c>
      <c r="K17" s="15">
        <v>1.94</v>
      </c>
      <c r="L17" s="15">
        <v>556</v>
      </c>
      <c r="M17" s="15">
        <v>1</v>
      </c>
      <c r="N17" s="15" t="s">
        <v>55</v>
      </c>
      <c r="O17" s="15" t="s">
        <v>50</v>
      </c>
    </row>
    <row r="18" spans="1:15" x14ac:dyDescent="0.25">
      <c r="A18" s="15" t="s">
        <v>74</v>
      </c>
      <c r="B18" s="15">
        <v>30.5</v>
      </c>
      <c r="C18" s="15">
        <v>32.44</v>
      </c>
      <c r="D18" s="15">
        <v>1468</v>
      </c>
      <c r="E18" s="15">
        <v>243</v>
      </c>
      <c r="F18" s="15">
        <v>38</v>
      </c>
      <c r="G18" s="15">
        <v>38</v>
      </c>
      <c r="H18" s="15">
        <v>3359</v>
      </c>
      <c r="I18" s="15">
        <v>10689</v>
      </c>
      <c r="J18" s="15">
        <v>62.23</v>
      </c>
      <c r="K18" s="15">
        <v>2.44</v>
      </c>
      <c r="L18" s="15">
        <v>596</v>
      </c>
      <c r="M18" s="15">
        <v>1</v>
      </c>
      <c r="N18" s="15" t="s">
        <v>47</v>
      </c>
      <c r="O18" s="15" t="s">
        <v>50</v>
      </c>
    </row>
    <row r="19" spans="1:15" x14ac:dyDescent="0.25">
      <c r="A19" s="15" t="s">
        <v>75</v>
      </c>
      <c r="B19" s="15">
        <v>32.6</v>
      </c>
      <c r="C19" s="15">
        <v>32.2</v>
      </c>
      <c r="D19" s="15">
        <v>2142</v>
      </c>
      <c r="E19" s="15">
        <v>338</v>
      </c>
      <c r="F19" s="15">
        <v>38</v>
      </c>
      <c r="G19" s="15">
        <v>38</v>
      </c>
      <c r="H19" s="15">
        <v>3536</v>
      </c>
      <c r="I19" s="15">
        <v>11320</v>
      </c>
      <c r="J19" s="15">
        <v>66.25</v>
      </c>
      <c r="K19" s="15">
        <v>3.28</v>
      </c>
      <c r="L19" s="15">
        <v>635</v>
      </c>
      <c r="M19" s="15">
        <v>1</v>
      </c>
      <c r="N19" s="15" t="s">
        <v>76</v>
      </c>
      <c r="O19" s="15" t="s">
        <v>50</v>
      </c>
    </row>
    <row r="20" spans="1:15" x14ac:dyDescent="0.25">
      <c r="A20" s="15" t="s">
        <v>77</v>
      </c>
      <c r="B20" s="15">
        <v>34.6</v>
      </c>
      <c r="C20" s="15">
        <v>32.16</v>
      </c>
      <c r="D20" s="15">
        <v>2109</v>
      </c>
      <c r="E20" s="15">
        <v>262</v>
      </c>
      <c r="F20" s="15">
        <v>38</v>
      </c>
      <c r="G20" s="15">
        <v>38</v>
      </c>
      <c r="H20" s="15">
        <v>3667</v>
      </c>
      <c r="I20" s="15">
        <v>11972</v>
      </c>
      <c r="J20" s="15">
        <v>68.31</v>
      </c>
      <c r="K20" s="15">
        <v>1.69</v>
      </c>
      <c r="L20" s="15">
        <v>674</v>
      </c>
      <c r="M20" s="15">
        <v>1</v>
      </c>
      <c r="N20" s="15" t="s">
        <v>55</v>
      </c>
      <c r="O20" s="15" t="s">
        <v>50</v>
      </c>
    </row>
    <row r="21" spans="1:15" x14ac:dyDescent="0.25">
      <c r="A21" s="15" t="s">
        <v>78</v>
      </c>
      <c r="B21" s="15">
        <v>36.6</v>
      </c>
      <c r="C21" s="15">
        <v>32.55</v>
      </c>
      <c r="D21" s="15">
        <v>1511</v>
      </c>
      <c r="E21" s="15">
        <v>248</v>
      </c>
      <c r="F21" s="15">
        <v>38</v>
      </c>
      <c r="G21" s="15">
        <v>38</v>
      </c>
      <c r="H21" s="15">
        <v>3855</v>
      </c>
      <c r="I21" s="15">
        <v>12604</v>
      </c>
      <c r="J21" s="15">
        <v>72.41</v>
      </c>
      <c r="K21" s="15">
        <v>3.37</v>
      </c>
      <c r="L21" s="15">
        <v>714</v>
      </c>
      <c r="M21" s="15">
        <v>1</v>
      </c>
      <c r="N21" s="15" t="s">
        <v>47</v>
      </c>
      <c r="O21" s="15" t="s">
        <v>50</v>
      </c>
    </row>
    <row r="22" spans="1:15" x14ac:dyDescent="0.25">
      <c r="A22" s="15" t="s">
        <v>79</v>
      </c>
      <c r="B22" s="15">
        <v>38.7</v>
      </c>
      <c r="C22" s="15">
        <v>31.65</v>
      </c>
      <c r="D22" s="15">
        <v>1316</v>
      </c>
      <c r="E22" s="15">
        <v>178</v>
      </c>
      <c r="F22" s="15">
        <v>38</v>
      </c>
      <c r="G22" s="15">
        <v>38</v>
      </c>
      <c r="H22" s="15">
        <v>4011</v>
      </c>
      <c r="I22" s="15">
        <v>13192</v>
      </c>
      <c r="J22" s="15">
        <v>75.02</v>
      </c>
      <c r="K22" s="15">
        <v>2.13</v>
      </c>
      <c r="L22" s="15">
        <v>753</v>
      </c>
      <c r="M22" s="15">
        <v>1</v>
      </c>
      <c r="N22" s="15" t="s">
        <v>80</v>
      </c>
      <c r="O22" s="15" t="s">
        <v>50</v>
      </c>
    </row>
    <row r="23" spans="1:15" x14ac:dyDescent="0.25">
      <c r="A23" s="15" t="s">
        <v>81</v>
      </c>
      <c r="B23" s="15">
        <v>40.7</v>
      </c>
      <c r="C23" s="15">
        <v>32.71</v>
      </c>
      <c r="D23" s="15">
        <v>1468</v>
      </c>
      <c r="E23" s="15">
        <v>236</v>
      </c>
      <c r="F23" s="15">
        <v>38</v>
      </c>
      <c r="G23" s="15">
        <v>38</v>
      </c>
      <c r="H23" s="15">
        <v>4178</v>
      </c>
      <c r="I23" s="15">
        <v>13883</v>
      </c>
      <c r="J23" s="15">
        <v>78.17</v>
      </c>
      <c r="K23" s="15">
        <v>2.57</v>
      </c>
      <c r="L23" s="15">
        <v>793</v>
      </c>
      <c r="M23" s="15">
        <v>1</v>
      </c>
      <c r="N23" s="15" t="s">
        <v>47</v>
      </c>
      <c r="O23" s="15" t="s">
        <v>50</v>
      </c>
    </row>
    <row r="24" spans="1:15" x14ac:dyDescent="0.25">
      <c r="A24" s="15" t="s">
        <v>82</v>
      </c>
      <c r="B24" s="15">
        <v>42.7</v>
      </c>
      <c r="C24" s="15">
        <v>32.71</v>
      </c>
      <c r="D24" s="15">
        <v>2565</v>
      </c>
      <c r="E24" s="15">
        <v>533</v>
      </c>
      <c r="F24" s="15">
        <v>38</v>
      </c>
      <c r="G24" s="15">
        <v>38</v>
      </c>
      <c r="H24" s="15">
        <v>4378</v>
      </c>
      <c r="I24" s="15">
        <v>14435</v>
      </c>
      <c r="J24" s="15">
        <v>80.97</v>
      </c>
      <c r="K24" s="15">
        <v>2.31</v>
      </c>
      <c r="L24" s="15">
        <v>832</v>
      </c>
      <c r="M24" s="15">
        <v>1</v>
      </c>
      <c r="N24" s="15" t="s">
        <v>64</v>
      </c>
      <c r="O24" s="15" t="s">
        <v>50</v>
      </c>
    </row>
    <row r="25" spans="1:15" x14ac:dyDescent="0.25">
      <c r="A25" s="15" t="s">
        <v>83</v>
      </c>
      <c r="B25" s="15">
        <v>44.8</v>
      </c>
      <c r="C25" s="15">
        <v>32.67</v>
      </c>
      <c r="D25" s="15">
        <v>1464</v>
      </c>
      <c r="E25" s="15">
        <v>236</v>
      </c>
      <c r="F25" s="15">
        <v>38</v>
      </c>
      <c r="G25" s="15">
        <v>38</v>
      </c>
      <c r="H25" s="15">
        <v>4582</v>
      </c>
      <c r="I25" s="15">
        <v>15029</v>
      </c>
      <c r="J25" s="15">
        <v>83.54</v>
      </c>
      <c r="K25" s="15">
        <v>2.1</v>
      </c>
      <c r="L25" s="15">
        <v>871</v>
      </c>
      <c r="M25" s="15">
        <v>1</v>
      </c>
      <c r="N25" s="15" t="s">
        <v>47</v>
      </c>
      <c r="O25" s="15" t="s">
        <v>50</v>
      </c>
    </row>
    <row r="26" spans="1:15" x14ac:dyDescent="0.25">
      <c r="A26" s="15" t="s">
        <v>84</v>
      </c>
      <c r="B26" s="15">
        <v>46.8</v>
      </c>
      <c r="C26" s="15">
        <v>32.77</v>
      </c>
      <c r="D26" s="15">
        <v>1468</v>
      </c>
      <c r="E26" s="15">
        <v>236</v>
      </c>
      <c r="F26" s="15">
        <v>38</v>
      </c>
      <c r="G26" s="15">
        <v>38</v>
      </c>
      <c r="H26" s="15">
        <v>4747</v>
      </c>
      <c r="I26" s="15">
        <v>15659</v>
      </c>
      <c r="J26" s="15">
        <v>87.09</v>
      </c>
      <c r="K26" s="15">
        <v>2.9</v>
      </c>
      <c r="L26" s="15">
        <v>911</v>
      </c>
      <c r="M26" s="15">
        <v>1</v>
      </c>
      <c r="N26" s="15" t="s">
        <v>47</v>
      </c>
      <c r="O26" s="15" t="s">
        <v>50</v>
      </c>
    </row>
    <row r="27" spans="1:15" x14ac:dyDescent="0.25">
      <c r="A27" s="15" t="s">
        <v>85</v>
      </c>
      <c r="B27" s="15">
        <v>48.8</v>
      </c>
      <c r="C27" s="15">
        <v>32.5</v>
      </c>
      <c r="D27" s="15">
        <v>2107</v>
      </c>
      <c r="E27" s="15">
        <v>262</v>
      </c>
      <c r="F27" s="15">
        <v>38</v>
      </c>
      <c r="G27" s="15">
        <v>38</v>
      </c>
      <c r="H27" s="15">
        <v>4937</v>
      </c>
      <c r="I27" s="15">
        <v>16436</v>
      </c>
      <c r="J27" s="15">
        <v>90.28</v>
      </c>
      <c r="K27" s="15">
        <v>2.63</v>
      </c>
      <c r="L27" s="15">
        <v>950</v>
      </c>
      <c r="M27" s="15">
        <v>1</v>
      </c>
      <c r="N27" s="15" t="s">
        <v>55</v>
      </c>
      <c r="O27" s="15" t="s">
        <v>50</v>
      </c>
    </row>
    <row r="28" spans="1:15" x14ac:dyDescent="0.25">
      <c r="A28" s="15" t="s">
        <v>86</v>
      </c>
      <c r="B28" s="15">
        <v>50.9</v>
      </c>
      <c r="C28" s="15">
        <v>32.56</v>
      </c>
      <c r="D28" s="15">
        <v>2120</v>
      </c>
      <c r="E28" s="15">
        <v>269</v>
      </c>
      <c r="F28" s="15">
        <v>38</v>
      </c>
      <c r="G28" s="15">
        <v>38</v>
      </c>
      <c r="H28" s="15">
        <v>5151</v>
      </c>
      <c r="I28" s="15">
        <v>17164</v>
      </c>
      <c r="J28" s="15">
        <v>93.24</v>
      </c>
      <c r="K28" s="15">
        <v>2.42</v>
      </c>
      <c r="L28" s="15">
        <v>990</v>
      </c>
      <c r="M28" s="15">
        <v>1</v>
      </c>
      <c r="N28" s="15" t="s">
        <v>55</v>
      </c>
      <c r="O28" s="15" t="s">
        <v>50</v>
      </c>
    </row>
    <row r="29" spans="1:15" x14ac:dyDescent="0.25">
      <c r="A29" s="15" t="s">
        <v>87</v>
      </c>
      <c r="B29" s="15">
        <v>52.9</v>
      </c>
      <c r="C29" s="15">
        <v>32.65</v>
      </c>
      <c r="D29" s="15">
        <v>1956</v>
      </c>
      <c r="E29" s="15">
        <v>322</v>
      </c>
      <c r="F29" s="15">
        <v>38</v>
      </c>
      <c r="G29" s="15">
        <v>38</v>
      </c>
      <c r="H29" s="15">
        <v>5257</v>
      </c>
      <c r="I29" s="15">
        <v>17714</v>
      </c>
      <c r="J29" s="15">
        <v>95.22</v>
      </c>
      <c r="K29" s="15">
        <v>1.61</v>
      </c>
      <c r="L29" s="15">
        <v>1029</v>
      </c>
      <c r="M29" s="15">
        <v>1</v>
      </c>
      <c r="N29" s="15" t="s">
        <v>76</v>
      </c>
      <c r="O29" s="15" t="s">
        <v>50</v>
      </c>
    </row>
    <row r="30" spans="1:15" x14ac:dyDescent="0.25">
      <c r="A30" s="15" t="s">
        <v>88</v>
      </c>
      <c r="B30" s="15">
        <v>55</v>
      </c>
      <c r="C30" s="15">
        <v>32.78</v>
      </c>
      <c r="D30" s="15">
        <v>2131</v>
      </c>
      <c r="E30" s="15">
        <v>404</v>
      </c>
      <c r="F30" s="15">
        <v>38</v>
      </c>
      <c r="G30" s="15">
        <v>38</v>
      </c>
      <c r="H30" s="15">
        <v>5532</v>
      </c>
      <c r="I30" s="15">
        <v>18459</v>
      </c>
      <c r="J30" s="15">
        <v>100.94</v>
      </c>
      <c r="K30" s="15">
        <v>4.69</v>
      </c>
      <c r="L30" s="15">
        <v>1069</v>
      </c>
      <c r="M30" s="15">
        <v>1</v>
      </c>
      <c r="N30" s="15" t="s">
        <v>67</v>
      </c>
      <c r="O30" s="15" t="s">
        <v>50</v>
      </c>
    </row>
    <row r="31" spans="1:15" x14ac:dyDescent="0.25">
      <c r="A31" s="15" t="s">
        <v>89</v>
      </c>
      <c r="B31" s="15">
        <v>57</v>
      </c>
      <c r="C31" s="15">
        <v>32.74</v>
      </c>
      <c r="D31" s="15">
        <v>2084</v>
      </c>
      <c r="E31" s="15">
        <v>375</v>
      </c>
      <c r="F31" s="15">
        <v>38</v>
      </c>
      <c r="G31" s="15">
        <v>38</v>
      </c>
      <c r="H31" s="15">
        <v>5740</v>
      </c>
      <c r="I31" s="15">
        <v>19132</v>
      </c>
      <c r="J31" s="15">
        <v>103.76</v>
      </c>
      <c r="K31" s="15">
        <v>2.32</v>
      </c>
      <c r="L31" s="15">
        <v>1109</v>
      </c>
      <c r="M31" s="15">
        <v>1</v>
      </c>
      <c r="N31" s="15" t="s">
        <v>67</v>
      </c>
      <c r="O31" s="15" t="s">
        <v>50</v>
      </c>
    </row>
    <row r="32" spans="1:15" x14ac:dyDescent="0.25">
      <c r="A32" s="15" t="s">
        <v>90</v>
      </c>
      <c r="B32" s="15">
        <v>59</v>
      </c>
      <c r="C32" s="15">
        <v>32.7</v>
      </c>
      <c r="D32" s="15">
        <v>2100</v>
      </c>
      <c r="E32" s="15">
        <v>390</v>
      </c>
      <c r="F32" s="15">
        <v>38</v>
      </c>
      <c r="G32" s="15">
        <v>38</v>
      </c>
      <c r="H32" s="15">
        <v>5949</v>
      </c>
      <c r="I32" s="15">
        <v>19836</v>
      </c>
      <c r="J32" s="15">
        <v>106.66</v>
      </c>
      <c r="K32" s="15">
        <v>2.38</v>
      </c>
      <c r="L32" s="15">
        <v>1148</v>
      </c>
      <c r="M32" s="15">
        <v>1</v>
      </c>
      <c r="N32" s="15" t="s">
        <v>67</v>
      </c>
      <c r="O32" s="15" t="s">
        <v>50</v>
      </c>
    </row>
    <row r="33" spans="1:15" x14ac:dyDescent="0.25">
      <c r="A33" s="14" t="s">
        <v>91</v>
      </c>
      <c r="B33" s="14">
        <v>60</v>
      </c>
      <c r="C33" s="14">
        <v>31.18</v>
      </c>
      <c r="D33" s="14">
        <v>1464</v>
      </c>
      <c r="E33" s="14">
        <v>236</v>
      </c>
      <c r="F33" s="14">
        <v>38</v>
      </c>
      <c r="G33" s="14">
        <v>38</v>
      </c>
      <c r="H33" s="14">
        <v>6108</v>
      </c>
      <c r="I33" s="14">
        <v>20256</v>
      </c>
      <c r="J33" s="14">
        <v>109.09</v>
      </c>
      <c r="K33" s="14">
        <v>0.73</v>
      </c>
      <c r="L33" s="14">
        <v>1168</v>
      </c>
      <c r="M33" s="14">
        <v>1</v>
      </c>
      <c r="N33" s="14" t="s">
        <v>47</v>
      </c>
      <c r="O33" s="14" t="s">
        <v>92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cols>
    <col min="1" max="1" width="38" customWidth="1"/>
    <col min="2" max="3" width="20" customWidth="1"/>
    <col min="4" max="4" width="34" customWidth="1"/>
    <col min="5" max="5" width="36" customWidth="1"/>
    <col min="6" max="6" width="10" customWidth="1"/>
  </cols>
  <sheetData>
    <row r="1" spans="1:6" x14ac:dyDescent="0.25">
      <c r="A1" s="1" t="s">
        <v>0</v>
      </c>
      <c r="B1" s="1"/>
      <c r="C1" s="1"/>
      <c r="D1" s="1"/>
      <c r="E1" s="1"/>
      <c r="F1" s="1"/>
    </row>
    <row r="2" spans="1:6" x14ac:dyDescent="0.25">
      <c r="A2" s="2" t="s">
        <v>1</v>
      </c>
      <c r="B2" s="2"/>
      <c r="C2" s="2"/>
      <c r="D2" s="2"/>
      <c r="E2" s="2"/>
      <c r="F2" s="2"/>
    </row>
    <row r="4" ht="20" customHeight="1" spans="1:6" x14ac:dyDescent="0.25">
      <c r="A4" s="3" t="s">
        <v>2</v>
      </c>
      <c r="B4" s="4" t="s">
        <v>3</v>
      </c>
      <c r="C4" s="4" t="s">
        <v>4</v>
      </c>
      <c r="D4" s="4" t="s">
        <v>5</v>
      </c>
      <c r="E4" s="3" t="s">
        <v>6</v>
      </c>
      <c r="F4" s="4" t="s">
        <v>7</v>
      </c>
    </row>
    <row r="5" ht="18" customHeight="1" spans="1:6" x14ac:dyDescent="0.25">
      <c r="A5" s="5" t="s">
        <v>8</v>
      </c>
      <c r="B5" s="6">
        <f>='Samples (2-min)'!C2</f>
        <v>22.62</v>
      </c>
      <c r="C5" s="6">
        <f>='Samples (2-min)'!C33</f>
        <v>31.18</v>
      </c>
      <c r="D5" s="7" t="str">
        <f>=TEXT(C5-B5,"+0.00;-0.00")&amp;" MB / "&amp;TEXT((C5-B5)/B5,"+0.0%;-0.0%")</f>
        <v>+8.56 MB / +37.8%</v>
      </c>
      <c r="E5" s="5" t="s">
        <v>9</v>
      </c>
      <c r="F5" s="8" t="str">
        <f>=IF(OR(C5-B5&lt;=10,(C5-B5)/B5&lt;=0.1),"PASS","FAIL")</f>
        <v>PASS</v>
      </c>
    </row>
    <row r="6" ht="18" customHeight="1" spans="1:6" x14ac:dyDescent="0.25">
      <c r="A6" s="5" t="s">
        <v>10</v>
      </c>
      <c r="B6" s="6">
        <v>1.3328142380422694</v>
      </c>
      <c r="C6" s="6">
        <v>0.3903571428571454</v>
      </c>
      <c r="D6" s="7" t="s">
        <v>11</v>
      </c>
      <c r="E6" s="5" t="s">
        <v>12</v>
      </c>
      <c r="F6" s="8" t="str">
        <f>=IF(OR(B6&lt;=1,C6&lt;=1),"PASS","FAIL")</f>
        <v>PASS</v>
      </c>
    </row>
    <row r="7" ht="18" customHeight="1" spans="1:6" x14ac:dyDescent="0.25">
      <c r="A7" s="5" t="s">
        <v>13</v>
      </c>
      <c r="B7" s="9">
        <f>='Samples (2-min)'!D2</f>
        <v>1432</v>
      </c>
      <c r="C7" s="9">
        <f>='Samples (2-min)'!D33</f>
        <v>1464</v>
      </c>
      <c r="D7" s="7" t="str">
        <f>=TEXT(C7-B7,"+0;-0")&amp;" / "&amp;TEXT((C7-B7)/B7,"+0.0%;-0.0%")</f>
        <v>+32 / +2.2%</v>
      </c>
      <c r="E7" s="5" t="s">
        <v>14</v>
      </c>
      <c r="F7" s="8" t="str">
        <f>=IF(OR(C7-B7&lt;=100,(C7-B7)/B7&lt;=0.05),"PASS","FAIL")</f>
        <v>PASS</v>
      </c>
    </row>
    <row r="8" ht="18" customHeight="1" spans="1:6" x14ac:dyDescent="0.25">
      <c r="A8" s="5" t="s">
        <v>15</v>
      </c>
      <c r="B8" s="9">
        <f>='Samples (2-min)'!E2</f>
        <v>235</v>
      </c>
      <c r="C8" s="9">
        <f>='Samples (2-min)'!E33</f>
        <v>236</v>
      </c>
      <c r="D8" s="7" t="str">
        <f>=TEXT(C8-B8,"+0;-0")&amp;" / "&amp;TEXT((C8-B8)/B8,"+0.0%;-0.0%")</f>
        <v>+1 / +0.4%</v>
      </c>
      <c r="E8" s="5" t="s">
        <v>16</v>
      </c>
      <c r="F8" s="8" t="str">
        <f>=IF(OR(C8-B8&lt;=20,(C8-B8)/B8&lt;=0.05),"PASS","FAIL")</f>
        <v>PASS</v>
      </c>
    </row>
    <row r="9" ht="18" customHeight="1" spans="1:6" x14ac:dyDescent="0.25">
      <c r="A9" s="5" t="s">
        <v>17</v>
      </c>
      <c r="B9" s="7" t="s">
        <v>18</v>
      </c>
      <c r="C9" s="7" t="s">
        <v>18</v>
      </c>
      <c r="D9" s="7" t="s">
        <v>19</v>
      </c>
      <c r="E9" s="5" t="s">
        <v>20</v>
      </c>
      <c r="F9" s="8" t="str">
        <f>=IF(AND('Samples (2-min)'!F33&lt;='Samples (2-min)'!F2,'Samples (2-min)'!G33&lt;='Samples (2-min)'!G2),"PASS","FAIL")</f>
        <v>PASS</v>
      </c>
    </row>
    <row r="10" ht="18" customHeight="1" spans="1:6" x14ac:dyDescent="0.25">
      <c r="A10" s="5" t="s">
        <v>21</v>
      </c>
      <c r="B10" s="10">
        <v>0.0055000000000000005</v>
      </c>
      <c r="C10" s="10">
        <v>0.0073</v>
      </c>
      <c r="D10" s="7" t="str">
        <f>=TEXT((C10-B10)*100,"+0.00;-0.00")&amp;" percentage points"</f>
        <v>+0.18 percentage points</v>
      </c>
      <c r="E10" s="5" t="s">
        <v>22</v>
      </c>
      <c r="F10" s="8" t="str">
        <f>=IF(C10&lt;=0.05,"PASS","FAIL")</f>
        <v>PASS</v>
      </c>
    </row>
    <row r="11" ht="18" customHeight="1" spans="1:6" x14ac:dyDescent="0.25">
      <c r="A11" s="5" t="s">
        <v>23</v>
      </c>
      <c r="B11" s="9">
        <v>1261</v>
      </c>
      <c r="C11" s="9">
        <v>1236</v>
      </c>
      <c r="D11" s="7" t="str">
        <f>=TEXT((C11-B11)/B11,"+0.0%;-0.0%")</f>
        <v>-2.0%</v>
      </c>
      <c r="E11" s="5" t="s">
        <v>24</v>
      </c>
      <c r="F11" s="8" t="str">
        <f>=IF((C11-B11)/B11&lt;=0.15,"PASS","FAIL")</f>
        <v>PASS</v>
      </c>
    </row>
    <row r="12" ht="18" customHeight="1" spans="1:6" x14ac:dyDescent="0.25">
      <c r="A12" s="5" t="s">
        <v>25</v>
      </c>
      <c r="B12" s="11" t="s">
        <v>26</v>
      </c>
      <c r="C12" s="11">
        <v>1</v>
      </c>
      <c r="D12" s="7" t="s">
        <v>27</v>
      </c>
      <c r="E12" s="5" t="s">
        <v>28</v>
      </c>
      <c r="F12" s="8" t="str">
        <f>=IF(C12&gt;=0.995,"PASS","FAIL")</f>
        <v>PASS</v>
      </c>
    </row>
    <row r="14" spans="1:6" x14ac:dyDescent="0.25">
      <c r="A14" s="12" t="s">
        <v>29</v>
      </c>
      <c r="B14" s="12"/>
      <c r="C14" s="12"/>
      <c r="D14" s="12"/>
      <c r="E14" s="12"/>
      <c r="F14" s="12"/>
    </row>
    <row r="16" spans="1:6" x14ac:dyDescent="0.25">
      <c r="A16" s="2" t="s">
        <v>30</v>
      </c>
      <c r="B16" s="2"/>
      <c r="C16" s="2"/>
      <c r="D16" s="2"/>
      <c r="E16" s="2"/>
      <c r="F16" s="2"/>
    </row>
  </sheetData>
  <mergeCells count="4">
    <mergeCell ref="A1:F1"/>
    <mergeCell ref="A2:F2"/>
    <mergeCell ref="A14:F14"/>
    <mergeCell ref="A16:F16"/>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1" width="30" customWidth="1"/>
    <col min="2" max="2" width="110" customWidth="1"/>
  </cols>
  <sheetData>
    <row r="1" spans="1:2" x14ac:dyDescent="0.25">
      <c r="A1" s="16" t="s">
        <v>93</v>
      </c>
      <c r="B1" s="17" t="s">
        <v>94</v>
      </c>
    </row>
    <row r="2" spans="1:2" x14ac:dyDescent="0.25">
      <c r="A2" s="16" t="s">
        <v>95</v>
      </c>
      <c r="B2" s="17" t="s">
        <v>96</v>
      </c>
    </row>
    <row r="3" spans="1:2" x14ac:dyDescent="0.25">
      <c r="A3" s="16" t="s">
        <v>97</v>
      </c>
      <c r="B3" s="17" t="s">
        <v>98</v>
      </c>
    </row>
    <row r="4" spans="1:2" x14ac:dyDescent="0.25">
      <c r="A4" s="16" t="s">
        <v>99</v>
      </c>
      <c r="B4" s="17" t="s">
        <v>100</v>
      </c>
    </row>
    <row r="5" spans="1:2" x14ac:dyDescent="0.25">
      <c r="A5" s="16" t="s">
        <v>101</v>
      </c>
      <c r="B5" s="17" t="s">
        <v>102</v>
      </c>
    </row>
    <row r="6" spans="1:2" x14ac:dyDescent="0.25">
      <c r="A6" s="16" t="s">
        <v>21</v>
      </c>
      <c r="B6" s="17" t="s">
        <v>103</v>
      </c>
    </row>
    <row r="7" spans="1:2" x14ac:dyDescent="0.25">
      <c r="A7" s="16" t="s">
        <v>104</v>
      </c>
      <c r="B7" s="17" t="s">
        <v>105</v>
      </c>
    </row>
    <row r="8" spans="1:2" x14ac:dyDescent="0.25">
      <c r="A8" s="16" t="s">
        <v>106</v>
      </c>
      <c r="B8" s="17" t="s">
        <v>107</v>
      </c>
    </row>
    <row r="9" spans="1:2" x14ac:dyDescent="0.25">
      <c r="A9" s="16" t="s">
        <v>108</v>
      </c>
      <c r="B9" s="17" t="s">
        <v>109</v>
      </c>
    </row>
    <row r="10" spans="1:2" x14ac:dyDescent="0.25">
      <c r="A10" s="16" t="s">
        <v>110</v>
      </c>
      <c r="B10" s="17" t="s">
        <v>111</v>
      </c>
    </row>
    <row r="11" spans="1:2" x14ac:dyDescent="0.25">
      <c r="A11" s="16" t="s">
        <v>112</v>
      </c>
      <c r="B11" s="17" t="s">
        <v>113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Samples (2-min)</vt:lpstr>
      <vt:lpstr>Method &amp;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perf-soak.js</dc:creator>
  <dc:title/>
  <dc:subject/>
  <dc:description/>
  <cp:keywords/>
  <cp:category/>
  <cp:lastModifiedBy>Unknown</cp:lastModifiedBy>
  <dcterms:created xsi:type="dcterms:W3CDTF">2026-09-23T06:30:35Z</dcterms:created>
  <dcterms:modified xsi:type="dcterms:W3CDTF">2026-09-23T06:30:35Z</dcterms:modified>
</cp:coreProperties>
</file>